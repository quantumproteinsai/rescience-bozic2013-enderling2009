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2221"/>
  <workbookPr filterPrivacy="1" autoCompressPictures="0"/>
  <bookViews>
    <workbookView xWindow="240" yWindow="100" windowWidth="20060" windowHeight="15380"/>
  </bookViews>
  <sheets>
    <sheet name="Summary" sheetId="10" r:id="rId1"/>
    <sheet name="Raw Data" sheetId="6" r:id="rId2"/>
    <sheet name="Volume" sheetId="3" r:id="rId3"/>
  </sheets>
  <definedNames>
    <definedName name="_xlnm.Print_Area" localSheetId="1">'Raw Data'!$A:$G</definedName>
    <definedName name="_xlnm.Print_Titles" localSheetId="0">Summary!$A:$A,Summary!$1:$2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V4" i="10" l="1"/>
  <c r="V5" i="10"/>
  <c r="V6" i="10"/>
  <c r="V7" i="10"/>
  <c r="V8" i="10"/>
  <c r="V9" i="10"/>
  <c r="V10" i="10"/>
  <c r="V11" i="10"/>
  <c r="V12" i="10"/>
  <c r="V13" i="10"/>
  <c r="V14" i="10"/>
  <c r="V15" i="10"/>
  <c r="V16" i="10"/>
  <c r="V17" i="10"/>
  <c r="V18" i="10"/>
  <c r="V19" i="10"/>
  <c r="V20" i="10"/>
  <c r="V21" i="10"/>
  <c r="V22" i="10"/>
  <c r="V23" i="10"/>
  <c r="U4" i="10"/>
  <c r="U5" i="10"/>
  <c r="T4" i="10"/>
  <c r="T5" i="10"/>
  <c r="T6" i="10"/>
  <c r="T7" i="10"/>
  <c r="T8" i="10"/>
  <c r="T9" i="10"/>
  <c r="T10" i="10"/>
  <c r="T11" i="10"/>
  <c r="S4" i="10"/>
  <c r="S5" i="10"/>
  <c r="S6" i="10"/>
  <c r="R4" i="10"/>
  <c r="R5" i="10"/>
  <c r="R6" i="10"/>
  <c r="R7" i="10"/>
  <c r="R8" i="10"/>
  <c r="R9" i="10"/>
  <c r="R10" i="10"/>
  <c r="R11" i="10"/>
  <c r="R12" i="10"/>
  <c r="Q4" i="10"/>
  <c r="Q5" i="10"/>
  <c r="Q6" i="10"/>
  <c r="Q7" i="10"/>
  <c r="Q8" i="10"/>
  <c r="Q9" i="10"/>
  <c r="P4" i="10"/>
  <c r="P5" i="10"/>
  <c r="P6" i="10"/>
  <c r="P7" i="10"/>
  <c r="P8" i="10"/>
  <c r="P9" i="10"/>
  <c r="P10" i="10"/>
  <c r="O4" i="10"/>
  <c r="O5" i="10"/>
  <c r="O6" i="10"/>
  <c r="O7" i="10"/>
  <c r="O8" i="10"/>
  <c r="O9" i="10"/>
  <c r="O10" i="10"/>
  <c r="O11" i="10"/>
  <c r="O12" i="10"/>
  <c r="O13" i="10"/>
  <c r="O14" i="10"/>
  <c r="O15" i="10"/>
  <c r="N4" i="10"/>
  <c r="N5" i="10"/>
  <c r="N6" i="10"/>
  <c r="N7" i="10"/>
  <c r="N8" i="10"/>
  <c r="N9" i="10"/>
  <c r="N10" i="10"/>
  <c r="N11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K4" i="10"/>
  <c r="K5" i="10"/>
  <c r="K6" i="10"/>
  <c r="K7" i="10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I4" i="10"/>
  <c r="I5" i="10"/>
  <c r="I6" i="10"/>
  <c r="I7" i="10"/>
  <c r="I8" i="10"/>
  <c r="I9" i="10"/>
  <c r="I10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G4" i="10"/>
  <c r="G5" i="10"/>
  <c r="G6" i="10"/>
  <c r="G7" i="10"/>
  <c r="G8" i="10"/>
  <c r="G9" i="10"/>
  <c r="G10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W3" i="10"/>
  <c r="V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B3" i="10"/>
  <c r="U3" i="10"/>
  <c r="W33" i="10"/>
  <c r="F244" i="6"/>
  <c r="G244" i="6"/>
  <c r="F245" i="6"/>
  <c r="G245" i="6"/>
  <c r="F246" i="6"/>
  <c r="G246" i="6"/>
  <c r="F247" i="6"/>
  <c r="G247" i="6"/>
  <c r="F248" i="6"/>
  <c r="G248" i="6"/>
  <c r="F249" i="6"/>
  <c r="G249" i="6"/>
  <c r="F250" i="6"/>
  <c r="G250" i="6"/>
  <c r="F227" i="6"/>
  <c r="G227" i="6"/>
  <c r="F226" i="6"/>
  <c r="G226" i="6"/>
  <c r="F225" i="6"/>
  <c r="G225" i="6"/>
  <c r="F224" i="6"/>
  <c r="G224" i="6"/>
  <c r="F223" i="6"/>
  <c r="G223" i="6"/>
  <c r="F222" i="6"/>
  <c r="G222" i="6"/>
  <c r="F221" i="6"/>
  <c r="G221" i="6"/>
  <c r="F220" i="6"/>
  <c r="G220" i="6"/>
  <c r="F219" i="6"/>
  <c r="G219" i="6"/>
  <c r="F218" i="6"/>
  <c r="G218" i="6"/>
  <c r="F217" i="6"/>
  <c r="G217" i="6"/>
  <c r="F216" i="6"/>
  <c r="G216" i="6"/>
  <c r="F215" i="6"/>
  <c r="G215" i="6"/>
  <c r="F214" i="6"/>
  <c r="G214" i="6"/>
  <c r="F213" i="6"/>
  <c r="G213" i="6"/>
  <c r="F212" i="6"/>
  <c r="G212" i="6"/>
  <c r="F211" i="6"/>
  <c r="G211" i="6"/>
  <c r="F210" i="6"/>
  <c r="G210" i="6"/>
  <c r="F209" i="6"/>
  <c r="G209" i="6"/>
  <c r="F208" i="6"/>
  <c r="G208" i="6"/>
  <c r="F207" i="6"/>
  <c r="G207" i="6"/>
  <c r="F206" i="6"/>
  <c r="F205" i="6"/>
  <c r="G205" i="6"/>
  <c r="F359" i="6"/>
  <c r="G359" i="6"/>
  <c r="F358" i="6"/>
  <c r="G358" i="6"/>
  <c r="F357" i="6"/>
  <c r="G357" i="6"/>
  <c r="F356" i="6"/>
  <c r="G356" i="6"/>
  <c r="F355" i="6"/>
  <c r="G355" i="6"/>
  <c r="F354" i="6"/>
  <c r="G354" i="6"/>
  <c r="F353" i="6"/>
  <c r="G353" i="6"/>
  <c r="F352" i="6"/>
  <c r="G352" i="6"/>
  <c r="F351" i="6"/>
  <c r="G351" i="6"/>
  <c r="F350" i="6"/>
  <c r="F143" i="6"/>
  <c r="G143" i="6"/>
  <c r="F142" i="6"/>
  <c r="G142" i="6"/>
  <c r="F141" i="6"/>
  <c r="G141" i="6"/>
  <c r="F140" i="6"/>
  <c r="G140" i="6"/>
  <c r="F139" i="6"/>
  <c r="G139" i="6"/>
  <c r="F138" i="6"/>
  <c r="G138" i="6"/>
  <c r="F137" i="6"/>
  <c r="G137" i="6"/>
  <c r="F136" i="6"/>
  <c r="G136" i="6"/>
  <c r="F135" i="6"/>
  <c r="G135" i="6"/>
  <c r="F134" i="6"/>
  <c r="G134" i="6"/>
  <c r="F133" i="6"/>
  <c r="G133" i="6"/>
  <c r="F132" i="6"/>
  <c r="G132" i="6"/>
  <c r="F131" i="6"/>
  <c r="G131" i="6"/>
  <c r="F130" i="6"/>
  <c r="G130" i="6"/>
  <c r="F129" i="6"/>
  <c r="G129" i="6"/>
  <c r="F128" i="6"/>
  <c r="G128" i="6"/>
  <c r="F127" i="6"/>
  <c r="G127" i="6"/>
  <c r="F126" i="6"/>
  <c r="G126" i="6"/>
  <c r="F125" i="6"/>
  <c r="G125" i="6"/>
  <c r="F124" i="6"/>
  <c r="G124" i="6"/>
  <c r="F123" i="6"/>
  <c r="F344" i="6"/>
  <c r="G344" i="6"/>
  <c r="F343" i="6"/>
  <c r="G343" i="6"/>
  <c r="F342" i="6"/>
  <c r="G342" i="6"/>
  <c r="F341" i="6"/>
  <c r="G341" i="6"/>
  <c r="F340" i="6"/>
  <c r="G340" i="6"/>
  <c r="F339" i="6"/>
  <c r="G339" i="6"/>
  <c r="F338" i="6"/>
  <c r="G338" i="6"/>
  <c r="F199" i="6"/>
  <c r="G199" i="6"/>
  <c r="F198" i="6"/>
  <c r="G198" i="6"/>
  <c r="F197" i="6"/>
  <c r="G197" i="6"/>
  <c r="F196" i="6"/>
  <c r="G196" i="6"/>
  <c r="F195" i="6"/>
  <c r="G195" i="6"/>
  <c r="F194" i="6"/>
  <c r="G194" i="6"/>
  <c r="F193" i="6"/>
  <c r="G193" i="6"/>
  <c r="F192" i="6"/>
  <c r="F21" i="6"/>
  <c r="G21" i="6"/>
  <c r="F20" i="6"/>
  <c r="G20" i="6"/>
  <c r="F19" i="6"/>
  <c r="G19" i="6"/>
  <c r="F18" i="6"/>
  <c r="G18" i="6"/>
  <c r="F17" i="6"/>
  <c r="G17" i="6"/>
  <c r="F16" i="6"/>
  <c r="G16" i="6"/>
  <c r="F15" i="6"/>
  <c r="G15" i="6"/>
  <c r="F14" i="6"/>
  <c r="G14" i="6"/>
  <c r="F13" i="6"/>
  <c r="G13" i="6"/>
  <c r="F12" i="6"/>
  <c r="G12" i="6"/>
  <c r="F11" i="6"/>
  <c r="G11" i="6"/>
  <c r="F10" i="6"/>
  <c r="G10" i="6"/>
  <c r="F9" i="6"/>
  <c r="G9" i="6"/>
  <c r="F8" i="6"/>
  <c r="G8" i="6"/>
  <c r="F7" i="6"/>
  <c r="G7" i="6"/>
  <c r="F6" i="6"/>
  <c r="G6" i="6"/>
  <c r="F5" i="6"/>
  <c r="G5" i="6"/>
  <c r="F4" i="6"/>
  <c r="G4" i="6"/>
  <c r="F422" i="6"/>
  <c r="F423" i="6"/>
  <c r="G423" i="6"/>
  <c r="F416" i="6"/>
  <c r="G416" i="6"/>
  <c r="F415" i="6"/>
  <c r="G415" i="6"/>
  <c r="F414" i="6"/>
  <c r="G414" i="6"/>
  <c r="F413" i="6"/>
  <c r="G413" i="6"/>
  <c r="F412" i="6"/>
  <c r="G412" i="6"/>
  <c r="F411" i="6"/>
  <c r="G411" i="6"/>
  <c r="F410" i="6"/>
  <c r="G410" i="6"/>
  <c r="F409" i="6"/>
  <c r="G409" i="6"/>
  <c r="F408" i="6"/>
  <c r="G408" i="6"/>
  <c r="F407" i="6"/>
  <c r="G407" i="6"/>
  <c r="F406" i="6"/>
  <c r="G406" i="6"/>
  <c r="F405" i="6"/>
  <c r="G405" i="6"/>
  <c r="F404" i="6"/>
  <c r="G404" i="6"/>
  <c r="F403" i="6"/>
  <c r="G403" i="6"/>
  <c r="F402" i="6"/>
  <c r="G402" i="6"/>
  <c r="F401" i="6"/>
  <c r="G401" i="6"/>
  <c r="F400" i="6"/>
  <c r="G400" i="6"/>
  <c r="F399" i="6"/>
  <c r="G399" i="6"/>
  <c r="F398" i="6"/>
  <c r="G398" i="6"/>
  <c r="F397" i="6"/>
  <c r="G397" i="6"/>
  <c r="F396" i="6"/>
  <c r="G396" i="6"/>
  <c r="F368" i="6"/>
  <c r="G368" i="6"/>
  <c r="F367" i="6"/>
  <c r="G367" i="6"/>
  <c r="F366" i="6"/>
  <c r="G366" i="6"/>
  <c r="F365" i="6"/>
  <c r="G365" i="6"/>
  <c r="F317" i="6"/>
  <c r="G317" i="6"/>
  <c r="F316" i="6"/>
  <c r="G316" i="6"/>
  <c r="F315" i="6"/>
  <c r="G315" i="6"/>
  <c r="F314" i="6"/>
  <c r="G314" i="6"/>
  <c r="F313" i="6"/>
  <c r="G313" i="6"/>
  <c r="F312" i="6"/>
  <c r="G312" i="6"/>
  <c r="F311" i="6"/>
  <c r="G311" i="6"/>
  <c r="F310" i="6"/>
  <c r="G310" i="6"/>
  <c r="F309" i="6"/>
  <c r="G309" i="6"/>
  <c r="F308" i="6"/>
  <c r="G308" i="6"/>
  <c r="F307" i="6"/>
  <c r="G307" i="6"/>
  <c r="F306" i="6"/>
  <c r="G306" i="6"/>
  <c r="F305" i="6"/>
  <c r="G305" i="6"/>
  <c r="F156" i="6"/>
  <c r="G156" i="6"/>
  <c r="F155" i="6"/>
  <c r="G155" i="6"/>
  <c r="F154" i="6"/>
  <c r="G154" i="6"/>
  <c r="F153" i="6"/>
  <c r="G153" i="6"/>
  <c r="F152" i="6"/>
  <c r="G152" i="6"/>
  <c r="F151" i="6"/>
  <c r="G151" i="6"/>
  <c r="F150" i="6"/>
  <c r="G150" i="6"/>
  <c r="F149" i="6"/>
  <c r="F382" i="6"/>
  <c r="G382" i="6"/>
  <c r="F381" i="6"/>
  <c r="G381" i="6"/>
  <c r="F380" i="6"/>
  <c r="G380" i="6"/>
  <c r="F379" i="6"/>
  <c r="G379" i="6"/>
  <c r="F378" i="6"/>
  <c r="G378" i="6"/>
  <c r="F377" i="6"/>
  <c r="G377" i="6"/>
  <c r="F376" i="6"/>
  <c r="G376" i="6"/>
  <c r="F375" i="6"/>
  <c r="F374" i="6"/>
  <c r="G374" i="6"/>
  <c r="F186" i="6"/>
  <c r="G186" i="6"/>
  <c r="F185" i="6"/>
  <c r="G185" i="6"/>
  <c r="F184" i="6"/>
  <c r="G184" i="6"/>
  <c r="F183" i="6"/>
  <c r="G183" i="6"/>
  <c r="F182" i="6"/>
  <c r="G182" i="6"/>
  <c r="F181" i="6"/>
  <c r="G181" i="6"/>
  <c r="F180" i="6"/>
  <c r="G180" i="6"/>
  <c r="F179" i="6"/>
  <c r="G179" i="6"/>
  <c r="F178" i="6"/>
  <c r="G178" i="6"/>
  <c r="F177" i="6"/>
  <c r="G177" i="6"/>
  <c r="F176" i="6"/>
  <c r="G176" i="6"/>
  <c r="F175" i="6"/>
  <c r="G175" i="6"/>
  <c r="F174" i="6"/>
  <c r="G174" i="6"/>
  <c r="F173" i="6"/>
  <c r="G173" i="6"/>
  <c r="F172" i="6"/>
  <c r="G172" i="6"/>
  <c r="F171" i="6"/>
  <c r="G171" i="6"/>
  <c r="F170" i="6"/>
  <c r="G170" i="6"/>
  <c r="F169" i="6"/>
  <c r="G169" i="6"/>
  <c r="F168" i="6"/>
  <c r="G168" i="6"/>
  <c r="F167" i="6"/>
  <c r="G167" i="6"/>
  <c r="F166" i="6"/>
  <c r="G166" i="6"/>
  <c r="F165" i="6"/>
  <c r="G165" i="6"/>
  <c r="F164" i="6"/>
  <c r="G164" i="6"/>
  <c r="F163" i="6"/>
  <c r="F162" i="6"/>
  <c r="G162" i="6"/>
  <c r="F117" i="6"/>
  <c r="G117" i="6"/>
  <c r="F116" i="6"/>
  <c r="G116" i="6"/>
  <c r="F115" i="6"/>
  <c r="G115" i="6"/>
  <c r="F114" i="6"/>
  <c r="G114" i="6"/>
  <c r="F113" i="6"/>
  <c r="G113" i="6"/>
  <c r="F112" i="6"/>
  <c r="G112" i="6"/>
  <c r="F111" i="6"/>
  <c r="G111" i="6"/>
  <c r="F110" i="6"/>
  <c r="G110" i="6"/>
  <c r="F109" i="6"/>
  <c r="G109" i="6"/>
  <c r="F108" i="6"/>
  <c r="G108" i="6"/>
  <c r="F107" i="6"/>
  <c r="G107" i="6"/>
  <c r="F106" i="6"/>
  <c r="G106" i="6"/>
  <c r="F105" i="6"/>
  <c r="G105" i="6"/>
  <c r="F104" i="6"/>
  <c r="G104" i="6"/>
  <c r="F103" i="6"/>
  <c r="G103" i="6"/>
  <c r="F102" i="6"/>
  <c r="G102" i="6"/>
  <c r="F101" i="6"/>
  <c r="G101" i="6"/>
  <c r="F100" i="6"/>
  <c r="G100" i="6"/>
  <c r="F99" i="6"/>
  <c r="G99" i="6"/>
  <c r="F98" i="6"/>
  <c r="G98" i="6"/>
  <c r="F97" i="6"/>
  <c r="G97" i="6"/>
  <c r="F96" i="6"/>
  <c r="G96" i="6"/>
  <c r="F95" i="6"/>
  <c r="G95" i="6"/>
  <c r="F94" i="6"/>
  <c r="G94" i="6"/>
  <c r="F93" i="6"/>
  <c r="G93" i="6"/>
  <c r="F92" i="6"/>
  <c r="G92" i="6"/>
  <c r="F91" i="6"/>
  <c r="G91" i="6"/>
  <c r="F90" i="6"/>
  <c r="G90" i="6"/>
  <c r="F89" i="6"/>
  <c r="G89" i="6"/>
  <c r="F88" i="6"/>
  <c r="G88" i="6"/>
  <c r="F285" i="6"/>
  <c r="G285" i="6"/>
  <c r="F284" i="6"/>
  <c r="G284" i="6"/>
  <c r="F283" i="6"/>
  <c r="G283" i="6"/>
  <c r="F282" i="6"/>
  <c r="G282" i="6"/>
  <c r="F281" i="6"/>
  <c r="G281" i="6"/>
  <c r="F280" i="6"/>
  <c r="G280" i="6"/>
  <c r="F279" i="6"/>
  <c r="G279" i="6"/>
  <c r="F278" i="6"/>
  <c r="G278" i="6"/>
  <c r="F277" i="6"/>
  <c r="G277" i="6"/>
  <c r="F276" i="6"/>
  <c r="G276" i="6"/>
  <c r="F275" i="6"/>
  <c r="G275" i="6"/>
  <c r="F274" i="6"/>
  <c r="G274" i="6"/>
  <c r="F273" i="6"/>
  <c r="G273" i="6"/>
  <c r="F272" i="6"/>
  <c r="G272" i="6"/>
  <c r="F271" i="6"/>
  <c r="G271" i="6"/>
  <c r="F270" i="6"/>
  <c r="G270" i="6"/>
  <c r="F269" i="6"/>
  <c r="G269" i="6"/>
  <c r="F268" i="6"/>
  <c r="G268" i="6"/>
  <c r="F267" i="6"/>
  <c r="G267" i="6"/>
  <c r="F266" i="6"/>
  <c r="G266" i="6"/>
  <c r="F265" i="6"/>
  <c r="G265" i="6"/>
  <c r="F264" i="6"/>
  <c r="G264" i="6"/>
  <c r="F263" i="6"/>
  <c r="F300" i="6"/>
  <c r="G300" i="6"/>
  <c r="F51" i="6"/>
  <c r="G51" i="6"/>
  <c r="F50" i="6"/>
  <c r="G50" i="6"/>
  <c r="F49" i="6"/>
  <c r="G49" i="6"/>
  <c r="F48" i="6"/>
  <c r="G48" i="6"/>
  <c r="F47" i="6"/>
  <c r="G47" i="6"/>
  <c r="F46" i="6"/>
  <c r="G46" i="6"/>
  <c r="F45" i="6"/>
  <c r="G45" i="6"/>
  <c r="F44" i="6"/>
  <c r="G44" i="6"/>
  <c r="F43" i="6"/>
  <c r="G43" i="6"/>
  <c r="F42" i="6"/>
  <c r="G42" i="6"/>
  <c r="F41" i="6"/>
  <c r="G41" i="6"/>
  <c r="F40" i="6"/>
  <c r="G40" i="6"/>
  <c r="F39" i="6"/>
  <c r="G39" i="6"/>
  <c r="F38" i="6"/>
  <c r="G38" i="6"/>
  <c r="F37" i="6"/>
  <c r="G37" i="6"/>
  <c r="F36" i="6"/>
  <c r="G36" i="6"/>
  <c r="F35" i="6"/>
  <c r="G35" i="6"/>
  <c r="F34" i="6"/>
  <c r="G34" i="6"/>
  <c r="F33" i="6"/>
  <c r="G33" i="6"/>
  <c r="F32" i="6"/>
  <c r="G32" i="6"/>
  <c r="F31" i="6"/>
  <c r="G31" i="6"/>
  <c r="F30" i="6"/>
  <c r="G30" i="6"/>
  <c r="F29" i="6"/>
  <c r="G29" i="6"/>
  <c r="F28" i="6"/>
  <c r="G28" i="6"/>
  <c r="F27" i="6"/>
  <c r="G27" i="6"/>
  <c r="F237" i="6"/>
  <c r="G237" i="6"/>
  <c r="F236" i="6"/>
  <c r="G236" i="6"/>
  <c r="F235" i="6"/>
  <c r="G235" i="6"/>
  <c r="F234" i="6"/>
  <c r="G234" i="6"/>
  <c r="F233" i="6"/>
  <c r="G233" i="6"/>
  <c r="F82" i="6"/>
  <c r="G82" i="6"/>
  <c r="F81" i="6"/>
  <c r="G81" i="6"/>
  <c r="F80" i="6"/>
  <c r="G80" i="6"/>
  <c r="F79" i="6"/>
  <c r="G79" i="6"/>
  <c r="F78" i="6"/>
  <c r="G78" i="6"/>
  <c r="F77" i="6"/>
  <c r="G77" i="6"/>
  <c r="F76" i="6"/>
  <c r="G76" i="6"/>
  <c r="F75" i="6"/>
  <c r="G75" i="6"/>
  <c r="F74" i="6"/>
  <c r="G74" i="6"/>
  <c r="F73" i="6"/>
  <c r="G73" i="6"/>
  <c r="F72" i="6"/>
  <c r="G72" i="6"/>
  <c r="F71" i="6"/>
  <c r="G71" i="6"/>
  <c r="F70" i="6"/>
  <c r="G70" i="6"/>
  <c r="F69" i="6"/>
  <c r="G69" i="6"/>
  <c r="F68" i="6"/>
  <c r="G68" i="6"/>
  <c r="F67" i="6"/>
  <c r="G67" i="6"/>
  <c r="F66" i="6"/>
  <c r="G66" i="6"/>
  <c r="F65" i="6"/>
  <c r="G65" i="6"/>
  <c r="F64" i="6"/>
  <c r="G64" i="6"/>
  <c r="F63" i="6"/>
  <c r="G63" i="6"/>
  <c r="F62" i="6"/>
  <c r="G62" i="6"/>
  <c r="F61" i="6"/>
  <c r="G61" i="6"/>
  <c r="F60" i="6"/>
  <c r="G60" i="6"/>
  <c r="F59" i="6"/>
  <c r="G59" i="6"/>
  <c r="F58" i="6"/>
  <c r="G58" i="6"/>
  <c r="F57" i="6"/>
  <c r="G57" i="6"/>
  <c r="F330" i="6"/>
  <c r="G330" i="6"/>
  <c r="F329" i="6"/>
  <c r="G329" i="6"/>
  <c r="F328" i="6"/>
  <c r="G328" i="6"/>
  <c r="F327" i="6"/>
  <c r="G327" i="6"/>
  <c r="F326" i="6"/>
  <c r="G326" i="6"/>
  <c r="F325" i="6"/>
  <c r="G325" i="6"/>
  <c r="F324" i="6"/>
  <c r="G324" i="6"/>
  <c r="F323" i="6"/>
  <c r="F390" i="6"/>
  <c r="G390" i="6"/>
  <c r="F389" i="6"/>
  <c r="G389" i="6"/>
  <c r="F388" i="6"/>
  <c r="G388" i="6"/>
  <c r="F257" i="6"/>
  <c r="G257" i="6"/>
  <c r="F256" i="6"/>
  <c r="G256" i="6"/>
  <c r="F255" i="6"/>
  <c r="G255" i="6"/>
  <c r="F254" i="6"/>
  <c r="G254" i="6"/>
  <c r="F253" i="6"/>
  <c r="G253" i="6"/>
  <c r="F252" i="6"/>
  <c r="G252" i="6"/>
  <c r="F251" i="6"/>
  <c r="G251" i="6"/>
  <c r="F157" i="6"/>
  <c r="G157" i="6"/>
  <c r="F383" i="6"/>
  <c r="G383" i="6"/>
  <c r="G422" i="6"/>
  <c r="F391" i="6"/>
  <c r="G391" i="6"/>
  <c r="F286" i="6"/>
  <c r="G286" i="6"/>
  <c r="G375" i="6"/>
  <c r="G149" i="6"/>
  <c r="S33" i="10"/>
  <c r="O33" i="10"/>
  <c r="K33" i="10"/>
  <c r="G33" i="10"/>
  <c r="C33" i="10"/>
  <c r="I33" i="10"/>
  <c r="M33" i="10"/>
  <c r="Q33" i="10"/>
  <c r="U33" i="10"/>
  <c r="F33" i="10"/>
  <c r="J33" i="10"/>
  <c r="N33" i="10"/>
  <c r="R33" i="10"/>
  <c r="V33" i="10"/>
  <c r="D33" i="10"/>
  <c r="H33" i="10"/>
  <c r="L33" i="10"/>
  <c r="P33" i="10"/>
  <c r="T33" i="10"/>
  <c r="B33" i="10"/>
  <c r="E33" i="10"/>
  <c r="F258" i="6"/>
  <c r="G258" i="6"/>
  <c r="G263" i="6"/>
  <c r="F187" i="6"/>
  <c r="G187" i="6"/>
  <c r="F144" i="6"/>
  <c r="F360" i="6"/>
  <c r="F228" i="6"/>
  <c r="F118" i="6"/>
  <c r="G118" i="6"/>
  <c r="F331" i="6"/>
  <c r="G331" i="6"/>
  <c r="F83" i="6"/>
  <c r="G83" i="6"/>
  <c r="F52" i="6"/>
  <c r="G52" i="6"/>
  <c r="G163" i="6"/>
  <c r="F22" i="6"/>
  <c r="G22" i="6"/>
  <c r="F200" i="6"/>
  <c r="G200" i="6"/>
  <c r="F345" i="6"/>
  <c r="G345" i="6"/>
  <c r="G123" i="6"/>
  <c r="G144" i="6"/>
  <c r="G350" i="6"/>
  <c r="G360" i="6"/>
  <c r="G206" i="6"/>
  <c r="G228" i="6"/>
  <c r="G323" i="6"/>
  <c r="F318" i="6"/>
  <c r="G318" i="6"/>
  <c r="G192" i="6"/>
  <c r="F369" i="6"/>
  <c r="G369" i="6"/>
  <c r="F417" i="6"/>
  <c r="G417" i="6"/>
  <c r="F238" i="6"/>
  <c r="G238" i="6"/>
</calcChain>
</file>

<file path=xl/sharedStrings.xml><?xml version="1.0" encoding="utf-8"?>
<sst xmlns="http://schemas.openxmlformats.org/spreadsheetml/2006/main" count="992" uniqueCount="450">
  <si>
    <t>Patient</t>
  </si>
  <si>
    <t>Met. 1</t>
  </si>
  <si>
    <t>Met. 2</t>
  </si>
  <si>
    <t>Met. 3</t>
  </si>
  <si>
    <t>Met. 4</t>
  </si>
  <si>
    <t>Met. 5</t>
  </si>
  <si>
    <t>Met. 6</t>
  </si>
  <si>
    <t>Met. 7</t>
  </si>
  <si>
    <t>Met. 8</t>
  </si>
  <si>
    <t>Met. 9</t>
  </si>
  <si>
    <t>Met. 10</t>
  </si>
  <si>
    <t>Met. 11</t>
  </si>
  <si>
    <t>Met. 12</t>
  </si>
  <si>
    <t>Met. 13</t>
  </si>
  <si>
    <t>Met. 14</t>
  </si>
  <si>
    <t>Met. 15</t>
  </si>
  <si>
    <t>Met. 16</t>
  </si>
  <si>
    <t>Met. 17</t>
  </si>
  <si>
    <t>Met. 18</t>
  </si>
  <si>
    <t>Met. 19</t>
  </si>
  <si>
    <t>Met. 20</t>
  </si>
  <si>
    <t>Met. 21</t>
  </si>
  <si>
    <t>Met. 22</t>
  </si>
  <si>
    <t>Met. 23</t>
  </si>
  <si>
    <t>Met. 24</t>
  </si>
  <si>
    <t>Met. 25</t>
  </si>
  <si>
    <t>Met. 26</t>
  </si>
  <si>
    <t>Met. 27</t>
  </si>
  <si>
    <t>Met. 28</t>
  </si>
  <si>
    <t>Met. 29</t>
  </si>
  <si>
    <t>Met. 30</t>
  </si>
  <si>
    <t>Tumor Burden</t>
  </si>
  <si>
    <t xml:space="preserve">Location </t>
  </si>
  <si>
    <t>Description of Target Lesions</t>
  </si>
  <si>
    <t>Date of scan:</t>
  </si>
  <si>
    <t>Liver lesion, anterior</t>
  </si>
  <si>
    <t>2;17</t>
  </si>
  <si>
    <t>RUQ omentum</t>
  </si>
  <si>
    <t>2;38</t>
  </si>
  <si>
    <t>Right mid abdomen omentum</t>
  </si>
  <si>
    <t>2;45</t>
  </si>
  <si>
    <t>Right ovary</t>
  </si>
  <si>
    <t>2;79</t>
  </si>
  <si>
    <t>Left ovary</t>
  </si>
  <si>
    <t>cecal mass</t>
  </si>
  <si>
    <t>5b;75</t>
  </si>
  <si>
    <t>pericecal nodule</t>
  </si>
  <si>
    <t>5b;70</t>
  </si>
  <si>
    <t>5b;69</t>
  </si>
  <si>
    <t>5b;68</t>
  </si>
  <si>
    <t>5b;67</t>
  </si>
  <si>
    <t>pericolonic node</t>
  </si>
  <si>
    <t>5b;64</t>
  </si>
  <si>
    <t>5b;65</t>
  </si>
  <si>
    <t>Left pelvic external iliac node</t>
  </si>
  <si>
    <t>4b;5</t>
  </si>
  <si>
    <t>Right adnexal nodule</t>
  </si>
  <si>
    <t>2;82</t>
  </si>
  <si>
    <t xml:space="preserve">1 Liver met right dome    </t>
  </si>
  <si>
    <t xml:space="preserve">2 Liver met lateral right lobe </t>
  </si>
  <si>
    <t xml:space="preserve">3 Liver met caudate </t>
  </si>
  <si>
    <t>pancreatic head mass</t>
  </si>
  <si>
    <t>LN - porta hepatis lateral</t>
  </si>
  <si>
    <t>series 10/32</t>
  </si>
  <si>
    <t>LN - porta hepatis medial</t>
  </si>
  <si>
    <t>LN - periceliac anterior</t>
  </si>
  <si>
    <t>series 10/35</t>
  </si>
  <si>
    <t>LN - periceliac posterior</t>
  </si>
  <si>
    <t>LN - retroperitoneal anterior aorta</t>
  </si>
  <si>
    <t>series 10/49</t>
  </si>
  <si>
    <t>LN - retroperitoneal aorto-caval</t>
  </si>
  <si>
    <t>series 10/57</t>
  </si>
  <si>
    <t>LN - portocaval</t>
  </si>
  <si>
    <t>series 10/36</t>
  </si>
  <si>
    <t>Left axilla adenopathy</t>
  </si>
  <si>
    <t>sl10</t>
  </si>
  <si>
    <t>sl11</t>
  </si>
  <si>
    <t>sl13</t>
  </si>
  <si>
    <t>sl15</t>
  </si>
  <si>
    <t>sl18</t>
  </si>
  <si>
    <t>sl20</t>
  </si>
  <si>
    <t>sl23</t>
  </si>
  <si>
    <t>Left external iliac adenopathy</t>
  </si>
  <si>
    <t>sl99</t>
  </si>
  <si>
    <t>Left iliac adenopathy</t>
  </si>
  <si>
    <t>sl100</t>
  </si>
  <si>
    <t>sl104</t>
  </si>
  <si>
    <t>Left obturator adenopathy</t>
  </si>
  <si>
    <t>sl109</t>
  </si>
  <si>
    <t>Left inguinal adenopathy</t>
  </si>
  <si>
    <t>sl115</t>
  </si>
  <si>
    <t>sl119</t>
  </si>
  <si>
    <t>sl121</t>
  </si>
  <si>
    <t>Right inguinal adenopathy</t>
  </si>
  <si>
    <t>sl108</t>
  </si>
  <si>
    <t>sl112</t>
  </si>
  <si>
    <t>sl116</t>
  </si>
  <si>
    <t>sl120</t>
  </si>
  <si>
    <t>sl123</t>
  </si>
  <si>
    <t>LLQ implant</t>
  </si>
  <si>
    <t>sl102</t>
  </si>
  <si>
    <t>Left flank subcut nodule</t>
  </si>
  <si>
    <t>sl69</t>
  </si>
  <si>
    <t>LLQ subcut nodule</t>
  </si>
  <si>
    <t>sl96</t>
  </si>
  <si>
    <t>Gastrohepatic ligament node</t>
  </si>
  <si>
    <t>11; 20</t>
  </si>
  <si>
    <t>Periportal node</t>
  </si>
  <si>
    <t>Pancreatic head mass</t>
  </si>
  <si>
    <t>11; 24</t>
  </si>
  <si>
    <t>Mesenteric node</t>
  </si>
  <si>
    <t>11; 31</t>
  </si>
  <si>
    <t>Periportal tumor (infiltrative)</t>
  </si>
  <si>
    <t>11; 22</t>
  </si>
  <si>
    <t>RUL lung nodule</t>
  </si>
  <si>
    <t>6; 18</t>
  </si>
  <si>
    <t>RLL lung nodule</t>
  </si>
  <si>
    <t>6; 26</t>
  </si>
  <si>
    <t>LUL lung nodule</t>
  </si>
  <si>
    <t>6;27</t>
  </si>
  <si>
    <t>6;29</t>
  </si>
  <si>
    <t>LLL lung nodule</t>
  </si>
  <si>
    <t>6; 34</t>
  </si>
  <si>
    <t>6; 47</t>
  </si>
  <si>
    <t>6; 44</t>
  </si>
  <si>
    <t>Liver lesion anterior dome</t>
  </si>
  <si>
    <t>5; 68</t>
  </si>
  <si>
    <t>Liver lesion S II</t>
  </si>
  <si>
    <t>5; 69</t>
  </si>
  <si>
    <t>Liver lesion posterior left</t>
  </si>
  <si>
    <t>5;72</t>
  </si>
  <si>
    <t>Liver lesion posterior right</t>
  </si>
  <si>
    <t>5; 74</t>
  </si>
  <si>
    <t xml:space="preserve">Liver lesion central </t>
  </si>
  <si>
    <t>5; 79</t>
  </si>
  <si>
    <t>5; 80</t>
  </si>
  <si>
    <t>Liver lesion anterior (large)</t>
  </si>
  <si>
    <t>5; 82</t>
  </si>
  <si>
    <t>Liver lesion right lobe</t>
  </si>
  <si>
    <t>5; 86</t>
  </si>
  <si>
    <t>5; 88</t>
  </si>
  <si>
    <t>5; 81</t>
  </si>
  <si>
    <t xml:space="preserve">Liver lesion left lobe </t>
  </si>
  <si>
    <t>5; 91</t>
  </si>
  <si>
    <t>5; 97</t>
  </si>
  <si>
    <t xml:space="preserve">Liver lesion lateral </t>
  </si>
  <si>
    <t>5; 99</t>
  </si>
  <si>
    <t xml:space="preserve">Liver lesion posterior right </t>
  </si>
  <si>
    <t>5; 105</t>
  </si>
  <si>
    <t>Liver lesion inferior right</t>
  </si>
  <si>
    <t>5; 114</t>
  </si>
  <si>
    <t>5; 119</t>
  </si>
  <si>
    <t>5;132</t>
  </si>
  <si>
    <t>Left level 5 neck node</t>
  </si>
  <si>
    <t>2;66</t>
  </si>
  <si>
    <t>2;74</t>
  </si>
  <si>
    <t>LLL</t>
  </si>
  <si>
    <t>2;58</t>
  </si>
  <si>
    <t>2;59</t>
  </si>
  <si>
    <t>Left paratracheal</t>
  </si>
  <si>
    <t>paratracheal</t>
  </si>
  <si>
    <t>paraesophageal</t>
  </si>
  <si>
    <t>2;21</t>
  </si>
  <si>
    <t>subcarinal</t>
  </si>
  <si>
    <t>2;29</t>
  </si>
  <si>
    <t>2;30</t>
  </si>
  <si>
    <t>Liver dome</t>
  </si>
  <si>
    <t>5;9</t>
  </si>
  <si>
    <t>Liver dome, anterior</t>
  </si>
  <si>
    <t>5;12</t>
  </si>
  <si>
    <t>5;13</t>
  </si>
  <si>
    <t>Liver dome adjacent to IVC</t>
  </si>
  <si>
    <t>Liver, left lobe</t>
  </si>
  <si>
    <t>5;14</t>
  </si>
  <si>
    <t>Liver segment VIII</t>
  </si>
  <si>
    <t>5;16</t>
  </si>
  <si>
    <t>Liver, segment IV</t>
  </si>
  <si>
    <t>5;19</t>
  </si>
  <si>
    <t xml:space="preserve">Liver, posterior right </t>
  </si>
  <si>
    <t>Portocaval node</t>
  </si>
  <si>
    <t>5;26</t>
  </si>
  <si>
    <t>sigmoid mass</t>
  </si>
  <si>
    <t>10b;92</t>
  </si>
  <si>
    <t>9b;75</t>
  </si>
  <si>
    <t>9b;76</t>
  </si>
  <si>
    <t>percolonic node</t>
  </si>
  <si>
    <t>9b;91</t>
  </si>
  <si>
    <t>9b;89</t>
  </si>
  <si>
    <t>9b;93</t>
  </si>
  <si>
    <t>9b;97</t>
  </si>
  <si>
    <t>9b;98</t>
  </si>
  <si>
    <t>9b;105</t>
  </si>
  <si>
    <t>9b;107</t>
  </si>
  <si>
    <t>9b;110</t>
  </si>
  <si>
    <t>9b;116</t>
  </si>
  <si>
    <t>9b;69</t>
  </si>
  <si>
    <t>Paraaortic lymph node</t>
  </si>
  <si>
    <t>2;72</t>
  </si>
  <si>
    <t>2;75</t>
  </si>
  <si>
    <t>2;80</t>
  </si>
  <si>
    <t>2;81</t>
  </si>
  <si>
    <t>2;86</t>
  </si>
  <si>
    <t>2;88</t>
  </si>
  <si>
    <t>2;89</t>
  </si>
  <si>
    <t>2;96</t>
  </si>
  <si>
    <t>2;97</t>
  </si>
  <si>
    <t>iliac node</t>
  </si>
  <si>
    <t>2;99</t>
  </si>
  <si>
    <t>2;102</t>
  </si>
  <si>
    <t>2;103</t>
  </si>
  <si>
    <t>2;105</t>
  </si>
  <si>
    <t>Left iliac</t>
  </si>
  <si>
    <t>2;111</t>
  </si>
  <si>
    <t>2;121</t>
  </si>
  <si>
    <t>Left inguinal</t>
  </si>
  <si>
    <t>2;125</t>
  </si>
  <si>
    <t>2;127</t>
  </si>
  <si>
    <t>2;132</t>
  </si>
  <si>
    <t>Left popliteal</t>
  </si>
  <si>
    <t>2;201</t>
  </si>
  <si>
    <t>2;204</t>
  </si>
  <si>
    <t>2;209</t>
  </si>
  <si>
    <t>Liver dome lesion</t>
  </si>
  <si>
    <t>s7;7</t>
  </si>
  <si>
    <t>Liver dome anterior</t>
  </si>
  <si>
    <t>s7;9</t>
  </si>
  <si>
    <t xml:space="preserve">Liver dome lateral </t>
  </si>
  <si>
    <t>Liver right lobe anterior</t>
  </si>
  <si>
    <t>s7;12</t>
  </si>
  <si>
    <t xml:space="preserve">Liver right lobe lateral </t>
  </si>
  <si>
    <t>Liver right lobe posterior</t>
  </si>
  <si>
    <t xml:space="preserve">Liver anterior left lobe </t>
  </si>
  <si>
    <t>s7;16</t>
  </si>
  <si>
    <t>Liver posteriomedial, left</t>
  </si>
  <si>
    <t xml:space="preserve">Liver, central right </t>
  </si>
  <si>
    <t>s7;17</t>
  </si>
  <si>
    <t xml:space="preserve">Liver posterior, right </t>
  </si>
  <si>
    <t>s7;24</t>
  </si>
  <si>
    <t>Liver anterior, left</t>
  </si>
  <si>
    <t>s7;14</t>
  </si>
  <si>
    <t>Liver, lateral left lobe</t>
  </si>
  <si>
    <t>s7;28</t>
  </si>
  <si>
    <t>Liver right lobe</t>
  </si>
  <si>
    <t>s7;29</t>
  </si>
  <si>
    <t>Liver left lobe</t>
  </si>
  <si>
    <t>s7;30</t>
  </si>
  <si>
    <t>liver lateral right lobe</t>
  </si>
  <si>
    <t>s7;33</t>
  </si>
  <si>
    <t>gastrohepatic ligament node</t>
  </si>
  <si>
    <t>s7;18</t>
  </si>
  <si>
    <t>s7;21</t>
  </si>
  <si>
    <t>periportal node</t>
  </si>
  <si>
    <t>s7;23</t>
  </si>
  <si>
    <t>celiac node</t>
  </si>
  <si>
    <t>portocaval node</t>
  </si>
  <si>
    <t>s7;27</t>
  </si>
  <si>
    <t>mesenteric node</t>
  </si>
  <si>
    <t>Left para-aortic node</t>
  </si>
  <si>
    <t>s7;31</t>
  </si>
  <si>
    <t>Aortocaval node</t>
  </si>
  <si>
    <t>Para-cardiac node</t>
  </si>
  <si>
    <t>Left cervical</t>
  </si>
  <si>
    <t>Left supraclavicular</t>
  </si>
  <si>
    <t>RLL nodule</t>
  </si>
  <si>
    <t>7;65</t>
  </si>
  <si>
    <t>LLL nodule</t>
  </si>
  <si>
    <t>7;68</t>
  </si>
  <si>
    <t>LUL</t>
  </si>
  <si>
    <t>4;36</t>
  </si>
  <si>
    <t>4;43</t>
  </si>
  <si>
    <t>4;68</t>
  </si>
  <si>
    <t>RLL</t>
  </si>
  <si>
    <t>4;73</t>
  </si>
  <si>
    <t>Right hilar node</t>
  </si>
  <si>
    <t>2;32</t>
  </si>
  <si>
    <t>Gastrohepatic node</t>
  </si>
  <si>
    <t>Small bowel mass</t>
  </si>
  <si>
    <t>2;98</t>
  </si>
  <si>
    <t>12B: 32</t>
  </si>
  <si>
    <t>Peripancreatic nodule</t>
  </si>
  <si>
    <t>Liver metastasis anterior dome</t>
  </si>
  <si>
    <t>Liver metastasis anterior subcapsular</t>
  </si>
  <si>
    <t>Liver metastasis posterior right lobe</t>
  </si>
  <si>
    <t>Liver metastasis left lobe</t>
  </si>
  <si>
    <t>Liver metastasis anterior margin</t>
  </si>
  <si>
    <t xml:space="preserve">Liver metastasis inferior right </t>
  </si>
  <si>
    <t xml:space="preserve">Liver dome lesion </t>
  </si>
  <si>
    <t>2;5</t>
  </si>
  <si>
    <t>Left colon mass</t>
  </si>
  <si>
    <t>6b;18</t>
  </si>
  <si>
    <t>Pericolonic node</t>
  </si>
  <si>
    <t>6b;24</t>
  </si>
  <si>
    <t>6b;25</t>
  </si>
  <si>
    <t>3;15</t>
  </si>
  <si>
    <t>3;16</t>
  </si>
  <si>
    <t>3;32</t>
  </si>
  <si>
    <t>3;34</t>
  </si>
  <si>
    <t>3;37</t>
  </si>
  <si>
    <t>3;45</t>
  </si>
  <si>
    <t>3;42</t>
  </si>
  <si>
    <t>RML lung nodule</t>
  </si>
  <si>
    <t>3;48</t>
  </si>
  <si>
    <t>3;52</t>
  </si>
  <si>
    <t>3;58</t>
  </si>
  <si>
    <t>3;76</t>
  </si>
  <si>
    <t>3;25</t>
  </si>
  <si>
    <t>3;30</t>
  </si>
  <si>
    <t>3;55</t>
  </si>
  <si>
    <t>3;57</t>
  </si>
  <si>
    <t>3;67</t>
  </si>
  <si>
    <t>Liver mets, left lobe</t>
  </si>
  <si>
    <t>2;62</t>
  </si>
  <si>
    <t>Pancreatic mass</t>
  </si>
  <si>
    <t>13B:34</t>
  </si>
  <si>
    <t>Mesenteric implant</t>
  </si>
  <si>
    <t>Mesenteric nodule</t>
  </si>
  <si>
    <t>Right omental nodule</t>
  </si>
  <si>
    <t>Retrocecal mass</t>
  </si>
  <si>
    <t>6; 63</t>
  </si>
  <si>
    <t>Rt paracolic nodule</t>
  </si>
  <si>
    <t>6; 45</t>
  </si>
  <si>
    <t>Liver metastasis left dome</t>
  </si>
  <si>
    <t>6; 11</t>
  </si>
  <si>
    <t>Liver metastasis posterior right</t>
  </si>
  <si>
    <t>Liver metastasis lateral right</t>
  </si>
  <si>
    <t>6; 15</t>
  </si>
  <si>
    <t xml:space="preserve">Liver metastasis posterior right </t>
  </si>
  <si>
    <t>Liver metastasis right lobe</t>
  </si>
  <si>
    <t>6; 23</t>
  </si>
  <si>
    <t>6; 39</t>
  </si>
  <si>
    <t>Pelvic cul de sac implant</t>
  </si>
  <si>
    <t>13B; 64</t>
  </si>
  <si>
    <t>Peripancreatic node</t>
  </si>
  <si>
    <t>6; 21</t>
  </si>
  <si>
    <t>6; 20</t>
  </si>
  <si>
    <t>Mesenteric adenopathy</t>
  </si>
  <si>
    <t>13B: 30</t>
  </si>
  <si>
    <t>pancreatic body mass</t>
  </si>
  <si>
    <t>liver - dome</t>
  </si>
  <si>
    <t>series 10/7</t>
  </si>
  <si>
    <t>liver - 4A/8</t>
  </si>
  <si>
    <t>series 10/17</t>
  </si>
  <si>
    <t>liver - right</t>
  </si>
  <si>
    <t>series 10/18</t>
  </si>
  <si>
    <t>series 10/19</t>
  </si>
  <si>
    <t>liver - right posterior</t>
  </si>
  <si>
    <t>series 10/21</t>
  </si>
  <si>
    <t>series 10/23</t>
  </si>
  <si>
    <t>series 10/26</t>
  </si>
  <si>
    <t>4;23</t>
  </si>
  <si>
    <t>4;51</t>
  </si>
  <si>
    <t>4;62</t>
  </si>
  <si>
    <t>Subcarinal node</t>
  </si>
  <si>
    <t>2;44</t>
  </si>
  <si>
    <t>RML lung</t>
  </si>
  <si>
    <t>6;59</t>
  </si>
  <si>
    <t>RLL lung</t>
  </si>
  <si>
    <t>6;68</t>
  </si>
  <si>
    <t>6;86</t>
  </si>
  <si>
    <t>6;92</t>
  </si>
  <si>
    <t>Liver post dome</t>
  </si>
  <si>
    <t>5;10</t>
  </si>
  <si>
    <t>Liver lateral dome</t>
  </si>
  <si>
    <t>5;11</t>
  </si>
  <si>
    <t>5;15</t>
  </si>
  <si>
    <t>Liver, right lobe</t>
  </si>
  <si>
    <t>Liver adjacent to IVC</t>
  </si>
  <si>
    <t>5;18</t>
  </si>
  <si>
    <t xml:space="preserve">Liver, inferior right </t>
  </si>
  <si>
    <t>5;24</t>
  </si>
  <si>
    <t>5;27</t>
  </si>
  <si>
    <t>LUQ omental nodule</t>
  </si>
  <si>
    <t>LUQ mesenteric nodule</t>
  </si>
  <si>
    <t>5;33</t>
  </si>
  <si>
    <t>5;35</t>
  </si>
  <si>
    <t>9b;37</t>
  </si>
  <si>
    <t>Percolonic node</t>
  </si>
  <si>
    <t>5;36</t>
  </si>
  <si>
    <t>5;30</t>
  </si>
  <si>
    <t>Subaortic node</t>
  </si>
  <si>
    <t>3;26</t>
  </si>
  <si>
    <t>Left pararenal</t>
  </si>
  <si>
    <t>3;64</t>
  </si>
  <si>
    <t>3;75</t>
  </si>
  <si>
    <t>3;78</t>
  </si>
  <si>
    <t>3;80</t>
  </si>
  <si>
    <t>3;83</t>
  </si>
  <si>
    <t>Right pararenal</t>
  </si>
  <si>
    <t>3;74</t>
  </si>
  <si>
    <t>Left omental nodule</t>
  </si>
  <si>
    <t>3;70</t>
  </si>
  <si>
    <t>omental nodule</t>
  </si>
  <si>
    <t xml:space="preserve">Pancreatic tail mass </t>
  </si>
  <si>
    <t>liver - left lobe</t>
  </si>
  <si>
    <t>series 10/9</t>
  </si>
  <si>
    <t>liver - right lobe</t>
  </si>
  <si>
    <t>series 10/11</t>
  </si>
  <si>
    <t>series 10/12</t>
  </si>
  <si>
    <t>series 10/10</t>
  </si>
  <si>
    <t>series 10/13</t>
  </si>
  <si>
    <t>liver - right lobe anterior</t>
  </si>
  <si>
    <t>liver - right lobe posterior</t>
  </si>
  <si>
    <t>liver - right lobe lateral</t>
  </si>
  <si>
    <t>series 10/14</t>
  </si>
  <si>
    <t>series 10/15</t>
  </si>
  <si>
    <t>series 10/16</t>
  </si>
  <si>
    <t>series 10/20</t>
  </si>
  <si>
    <t>series 10/27</t>
  </si>
  <si>
    <t>L lateral omental nodule</t>
  </si>
  <si>
    <t>series 10/34</t>
  </si>
  <si>
    <t>LLQ omental nodule</t>
  </si>
  <si>
    <t>series 10/46</t>
  </si>
  <si>
    <t>series 10/38</t>
  </si>
  <si>
    <t>Tumor Size Screening (in cm)</t>
  </si>
  <si>
    <t>long axis</t>
  </si>
  <si>
    <t>short axis</t>
  </si>
  <si>
    <t>2;11</t>
  </si>
  <si>
    <t>Total:</t>
  </si>
  <si>
    <t>series 10/44</t>
  </si>
  <si>
    <t>series 10/28</t>
  </si>
  <si>
    <t>series 10/sl21</t>
  </si>
  <si>
    <t>Volume</t>
  </si>
  <si>
    <t>(in cells)</t>
  </si>
  <si>
    <t>(in cm³)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</si>
  <si>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</si>
  <si>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</si>
  <si>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</si>
  <si>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</si>
  <si>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</si>
  <si>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</si>
  <si>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</si>
  <si>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</si>
  <si>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</si>
  <si>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</si>
  <si>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</si>
  <si>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</si>
  <si>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</si>
  <si>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</si>
  <si>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</si>
  <si>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</si>
  <si>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</si>
  <si>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</si>
  <si>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</si>
  <si>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</si>
  <si>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</si>
  <si>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</si>
  <si>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Volume in cm³</t>
  </si>
  <si>
    <t>ID</t>
  </si>
  <si>
    <t>Patient:</t>
  </si>
  <si>
    <t>Supplementary File 2: Lesion sizes of patients who failed conventional therapies.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</si>
</sst>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###"/>
    <numFmt numFmtId="165" formatCode="0.000E+00"/>
  </numFmts>
  <fonts count="12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1"/>
      <name val="Arial"/>
      <family val="2"/>
    </font>
    <font>
      <b/>
      <sz val="11"/>
      <color rgb="FF3F3F76"/>
      <name val="Arial"/>
      <family val="2"/>
    </font>
    <font>
      <sz val="11"/>
      <color rgb="FF3F3F76"/>
      <name val="Arial"/>
      <family val="2"/>
    </font>
    <font>
      <b/>
      <sz val="10"/>
      <color rgb="FF3F3F76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.199999999999999"/>
      <color theme="1"/>
      <name val="Arial"/>
      <family val="2"/>
    </font>
    <font>
      <b/>
      <sz val="14"/>
      <color rgb="FF3F3F76"/>
      <name val="Arial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0">
    <xf numFmtId="0" fontId="0" fillId="0" borderId="0" xfId="0"/>
    <xf numFmtId="0" fontId="2" fillId="0" borderId="0" xfId="0" applyFont="1"/>
    <xf numFmtId="0" fontId="6" fillId="0" borderId="0" xfId="0" applyFont="1"/>
    <xf numFmtId="0" fontId="3" fillId="2" borderId="1" xfId="1" applyFont="1" applyAlignment="1">
      <alignment horizontal="center"/>
    </xf>
    <xf numFmtId="49" fontId="4" fillId="2" borderId="1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11" fontId="4" fillId="2" borderId="1" xfId="1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7" fillId="0" borderId="0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2" borderId="1" xfId="1" applyFont="1" applyBorder="1" applyAlignment="1">
      <alignment horizontal="right"/>
    </xf>
    <xf numFmtId="14" fontId="5" fillId="2" borderId="1" xfId="1" applyNumberFormat="1" applyFont="1" applyBorder="1" applyAlignment="1">
      <alignment horizontal="center"/>
    </xf>
    <xf numFmtId="0" fontId="5" fillId="2" borderId="4" xfId="1" applyFont="1" applyBorder="1" applyAlignment="1">
      <alignment horizontal="center" vertical="center" wrapText="1"/>
    </xf>
    <xf numFmtId="0" fontId="5" fillId="2" borderId="1" xfId="1" applyFont="1" applyBorder="1" applyAlignment="1">
      <alignment horizontal="center"/>
    </xf>
    <xf numFmtId="0" fontId="5" fillId="2" borderId="5" xfId="1" applyFont="1" applyBorder="1" applyAlignment="1">
      <alignment horizontal="center" vertical="center" wrapText="1"/>
    </xf>
    <xf numFmtId="0" fontId="7" fillId="0" borderId="0" xfId="0" applyFont="1"/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11" fontId="6" fillId="0" borderId="1" xfId="0" applyNumberFormat="1" applyFont="1" applyBorder="1" applyAlignment="1">
      <alignment horizontal="center" vertical="center"/>
    </xf>
    <xf numFmtId="11" fontId="6" fillId="0" borderId="0" xfId="0" applyNumberFormat="1" applyFont="1"/>
    <xf numFmtId="20" fontId="8" fillId="0" borderId="1" xfId="0" applyNumberFormat="1" applyFont="1" applyBorder="1" applyAlignment="1">
      <alignment horizontal="center"/>
    </xf>
    <xf numFmtId="0" fontId="8" fillId="0" borderId="1" xfId="0" applyNumberFormat="1" applyFont="1" applyBorder="1" applyAlignment="1">
      <alignment horizontal="center"/>
    </xf>
    <xf numFmtId="0" fontId="5" fillId="2" borderId="1" xfId="1" applyFont="1" applyBorder="1" applyAlignment="1">
      <alignment horizontal="center" vertical="center"/>
    </xf>
    <xf numFmtId="165" fontId="5" fillId="2" borderId="1" xfId="1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165" fontId="6" fillId="0" borderId="0" xfId="0" applyNumberFormat="1" applyFont="1"/>
    <xf numFmtId="0" fontId="9" fillId="0" borderId="0" xfId="0" applyFont="1"/>
    <xf numFmtId="14" fontId="5" fillId="2" borderId="1" xfId="1" applyNumberFormat="1" applyFont="1" applyBorder="1"/>
    <xf numFmtId="20" fontId="6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11" fontId="6" fillId="0" borderId="1" xfId="0" applyNumberFormat="1" applyFont="1" applyBorder="1" applyAlignment="1">
      <alignment horizontal="center" vertical="center" wrapText="1"/>
    </xf>
    <xf numFmtId="0" fontId="3" fillId="2" borderId="1" xfId="1" applyFont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1" fontId="10" fillId="0" borderId="0" xfId="0" applyNumberFormat="1" applyFont="1" applyAlignment="1">
      <alignment horizontal="center" vertical="center"/>
    </xf>
    <xf numFmtId="0" fontId="11" fillId="3" borderId="6" xfId="1" applyFont="1" applyFill="1" applyBorder="1" applyAlignment="1">
      <alignment horizontal="center"/>
    </xf>
    <xf numFmtId="0" fontId="11" fillId="3" borderId="7" xfId="1" applyFont="1" applyFill="1" applyBorder="1" applyAlignment="1">
      <alignment horizontal="center"/>
    </xf>
    <xf numFmtId="0" fontId="5" fillId="2" borderId="1" xfId="1" applyFont="1" applyBorder="1" applyAlignment="1">
      <alignment horizontal="center" vertical="center"/>
    </xf>
    <xf numFmtId="0" fontId="9" fillId="0" borderId="1" xfId="0" applyFont="1" applyBorder="1" applyAlignment="1">
      <alignment horizontal="left"/>
    </xf>
    <xf numFmtId="0" fontId="5" fillId="2" borderId="1" xfId="1" applyFont="1" applyBorder="1" applyAlignment="1">
      <alignment horizontal="center"/>
    </xf>
    <xf numFmtId="0" fontId="5" fillId="2" borderId="1" xfId="1" applyFont="1" applyBorder="1" applyAlignment="1">
      <alignment horizontal="center" wrapText="1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5" fillId="2" borderId="2" xfId="1" applyFont="1" applyBorder="1" applyAlignment="1">
      <alignment horizontal="center" vertical="center"/>
    </xf>
    <xf numFmtId="0" fontId="5" fillId="2" borderId="3" xfId="1" applyFont="1" applyBorder="1" applyAlignment="1">
      <alignment horizontal="center" vertical="center"/>
    </xf>
    <xf numFmtId="0" fontId="5" fillId="2" borderId="4" xfId="1" applyFont="1" applyBorder="1" applyAlignment="1">
      <alignment horizontal="center" vertical="center"/>
    </xf>
    <xf numFmtId="0" fontId="5" fillId="2" borderId="5" xfId="1" applyFont="1" applyBorder="1" applyAlignment="1">
      <alignment horizontal="center" vertical="center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5" fillId="2" borderId="2" xfId="1" applyFont="1" applyBorder="1" applyAlignment="1">
      <alignment horizontal="center" wrapText="1"/>
    </xf>
    <xf numFmtId="0" fontId="5" fillId="2" borderId="3" xfId="1" applyFont="1" applyBorder="1" applyAlignment="1">
      <alignment horizontal="center" wrapText="1"/>
    </xf>
    <xf numFmtId="0" fontId="3" fillId="2" borderId="1" xfId="1" applyFont="1" applyAlignment="1">
      <alignment horizontal="center"/>
    </xf>
  </cellXfs>
  <cellStyles count="2">
    <cellStyle name="Input" xfId="1" builtinId="20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3"/>
  <sheetViews>
    <sheetView tabSelected="1" workbookViewId="0">
      <pane ySplit="2" topLeftCell="A3" activePane="bottomLeft" state="frozen"/>
      <selection pane="bottomLeft" activeCell="C6" sqref="C6"/>
    </sheetView>
  </sheetViews>
  <sheetFormatPr baseColWidth="10" defaultColWidth="8.83203125" defaultRowHeight="13" x14ac:dyDescent="0"/>
  <cols>
    <col min="1" max="1" width="15.5" style="1" customWidth="1"/>
    <col min="2" max="3" width="13.1640625" style="5" customWidth="1"/>
    <col min="4" max="4" width="13.5" style="5" customWidth="1"/>
    <col min="5" max="6" width="13.1640625" style="5" customWidth="1"/>
    <col min="7" max="7" width="13.5" style="5" customWidth="1"/>
    <col min="8" max="23" width="13" style="5" customWidth="1"/>
    <col min="24" max="16384" width="8.83203125" style="1"/>
  </cols>
  <sheetData>
    <row r="1" spans="1:23" s="40" customFormat="1" ht="16" customHeight="1">
      <c r="A1" s="42" t="s">
        <v>449</v>
      </c>
      <c r="B1" s="42"/>
      <c r="C1" s="42"/>
      <c r="D1" s="42"/>
      <c r="E1" s="42"/>
      <c r="F1" s="42"/>
      <c r="G1" s="43"/>
    </row>
    <row r="2" spans="1:23" ht="16" customHeight="1">
      <c r="A2" s="3" t="s">
        <v>0</v>
      </c>
      <c r="B2" s="4" t="s">
        <v>424</v>
      </c>
      <c r="C2" s="4" t="s">
        <v>425</v>
      </c>
      <c r="D2" s="4" t="s">
        <v>426</v>
      </c>
      <c r="E2" s="4" t="s">
        <v>427</v>
      </c>
      <c r="F2" s="4" t="s">
        <v>428</v>
      </c>
      <c r="G2" s="4" t="s">
        <v>429</v>
      </c>
      <c r="H2" s="4" t="s">
        <v>430</v>
      </c>
      <c r="I2" s="4" t="s">
        <v>431</v>
      </c>
      <c r="J2" s="4" t="s">
        <v>432</v>
      </c>
      <c r="K2" s="4" t="s">
        <v>433</v>
      </c>
      <c r="L2" s="4" t="s">
        <v>434</v>
      </c>
      <c r="M2" s="4" t="s">
        <v>435</v>
      </c>
      <c r="N2" s="4" t="s">
        <v>436</v>
      </c>
      <c r="O2" s="4" t="s">
        <v>437</v>
      </c>
      <c r="P2" s="4" t="s">
        <v>438</v>
      </c>
      <c r="Q2" s="4" t="s">
        <v>439</v>
      </c>
      <c r="R2" s="4" t="s">
        <v>440</v>
      </c>
      <c r="S2" s="4" t="s">
        <v>441</v>
      </c>
      <c r="T2" s="4" t="s">
        <v>442</v>
      </c>
      <c r="U2" s="4" t="s">
        <v>443</v>
      </c>
      <c r="V2" s="4" t="s">
        <v>444</v>
      </c>
      <c r="W2" s="4" t="s">
        <v>445</v>
      </c>
    </row>
    <row r="3" spans="1:23" ht="16" customHeight="1">
      <c r="A3" s="3" t="s">
        <v>1</v>
      </c>
      <c r="B3" s="6">
        <f ca="1">OFFSET(Volume!B3,3-ROW(),ROW()-3)*10^9</f>
        <v>222912000000</v>
      </c>
      <c r="C3" s="6">
        <f ca="1">OFFSET(Volume!C3,4-ROW(),ROW()-4)*10^9</f>
        <v>137499500000</v>
      </c>
      <c r="D3" s="6">
        <f ca="1">OFFSET(Volume!D3,5-ROW(),ROW()-5)*10^9</f>
        <v>46227500000</v>
      </c>
      <c r="E3" s="6">
        <f ca="1">OFFSET(Volume!E3,6-ROW(),ROW()-6)*10^9</f>
        <v>49818000000</v>
      </c>
      <c r="F3" s="6">
        <f ca="1">OFFSET(Volume!F3,7-ROW(),ROW()-7)*10^9</f>
        <v>46746000000</v>
      </c>
      <c r="G3" s="6">
        <f ca="1">OFFSET(Volume!G3,8-ROW(),ROW()-8)*10^9</f>
        <v>77247500000</v>
      </c>
      <c r="H3" s="6">
        <f ca="1">OFFSET(Volume!H3,9-ROW(),ROW()-9)*10^9</f>
        <v>24500000000</v>
      </c>
      <c r="I3" s="6">
        <f ca="1">OFFSET(Volume!I3,10-ROW(),ROW()-10)*10^9</f>
        <v>48998500000</v>
      </c>
      <c r="J3" s="6">
        <f ca="1">OFFSET(Volume!J3,11-ROW(),ROW()-11)*10^9</f>
        <v>47587500000</v>
      </c>
      <c r="K3" s="6">
        <f ca="1">OFFSET(Volume!K3,12-ROW(),ROW()-12)*10^9</f>
        <v>26568000000</v>
      </c>
      <c r="L3" s="6">
        <f ca="1">OFFSET(Volume!L3,13-ROW(),ROW()-13)*10^9</f>
        <v>36822000000</v>
      </c>
      <c r="M3" s="6">
        <f ca="1">OFFSET(Volume!M3,14-ROW(),ROW()-14)*10^9</f>
        <v>20992000000</v>
      </c>
      <c r="N3" s="6">
        <f ca="1">OFFSET(Volume!N3,15-ROW(),ROW()-15)*10^9</f>
        <v>10478000000</v>
      </c>
      <c r="O3" s="6">
        <f ca="1">OFFSET(Volume!O3,16-ROW(),ROW()-16)*10^9</f>
        <v>26491500000</v>
      </c>
      <c r="P3" s="6">
        <f ca="1">OFFSET(Volume!P3,17-ROW(),ROW()-17)*10^9</f>
        <v>25047000000</v>
      </c>
      <c r="Q3" s="6">
        <f ca="1">OFFSET(Volume!Q3,18-ROW(),ROW()-18)*10^9</f>
        <v>17100000000.000002</v>
      </c>
      <c r="R3" s="6">
        <f ca="1">OFFSET(Volume!R3,19-ROW(),ROW()-19)*10^9</f>
        <v>10570500000</v>
      </c>
      <c r="S3" s="6">
        <f ca="1">OFFSET(Volume!S3,20-ROW(),ROW()-20)*10^9</f>
        <v>18954000000</v>
      </c>
      <c r="T3" s="6">
        <f ca="1">OFFSET(Volume!T3,21-ROW(),ROW()-21)*10^9</f>
        <v>15979000000</v>
      </c>
      <c r="U3" s="6">
        <f ca="1">OFFSET(Volume!U3,21-ROW(),ROW()-21)*10^9</f>
        <v>847000000</v>
      </c>
      <c r="V3" s="6">
        <f ca="1">OFFSET(Volume!V3,23-ROW(),ROW()-23)*10^9</f>
        <v>786500000</v>
      </c>
      <c r="W3" s="6">
        <f ca="1">OFFSET(Volume!W3,24-ROW(),ROW()-24)*10^9</f>
        <v>847000000</v>
      </c>
    </row>
    <row r="4" spans="1:23" ht="16" customHeight="1">
      <c r="A4" s="3" t="s">
        <v>2</v>
      </c>
      <c r="B4" s="6">
        <f ca="1">OFFSET(Volume!B4,3-ROW(),ROW()-3)*10^9</f>
        <v>13876500000</v>
      </c>
      <c r="C4" s="6">
        <f ca="1">OFFSET(Volume!C4,4-ROW(),ROW()-4)*10^9</f>
        <v>22869000000</v>
      </c>
      <c r="D4" s="6">
        <f ca="1">OFFSET(Volume!D4,5-ROW(),ROW()-5)*10^9</f>
        <v>30802500000</v>
      </c>
      <c r="E4" s="6">
        <f ca="1">OFFSET(Volume!E4,6-ROW(),ROW()-6)*10^9</f>
        <v>24276000000</v>
      </c>
      <c r="F4" s="6">
        <f ca="1">OFFSET(Volume!F4,7-ROW(),ROW()-7)*10^9</f>
        <v>19208000000</v>
      </c>
      <c r="G4" s="6">
        <f ca="1">OFFSET(Volume!G4,8-ROW(),ROW()-8)*10^9</f>
        <v>8064000000</v>
      </c>
      <c r="H4" s="6">
        <f ca="1">OFFSET(Volume!H4,9-ROW(),ROW()-9)*10^9</f>
        <v>22324500000</v>
      </c>
      <c r="I4" s="6">
        <f ca="1">OFFSET(Volume!I4,10-ROW(),ROW()-10)*10^9</f>
        <v>10816000000</v>
      </c>
      <c r="J4" s="6">
        <f ca="1">OFFSET(Volume!J4,11-ROW(),ROW()-11)*10^9</f>
        <v>12936000000</v>
      </c>
      <c r="K4" s="6">
        <f ca="1">OFFSET(Volume!K4,12-ROW(),ROW()-12)*10^9</f>
        <v>16072000000</v>
      </c>
      <c r="L4" s="6">
        <f ca="1">OFFSET(Volume!L4,13-ROW(),ROW()-13)*10^9</f>
        <v>4698000000</v>
      </c>
      <c r="M4" s="6">
        <f ca="1">OFFSET(Volume!M4,14-ROW(),ROW()-14)*10^9</f>
        <v>8125000000</v>
      </c>
      <c r="N4" s="6">
        <f ca="1">OFFSET(Volume!N4,15-ROW(),ROW()-15)*10^9</f>
        <v>8064000000</v>
      </c>
      <c r="O4" s="6">
        <f ca="1">OFFSET(Volume!O4,16-ROW(),ROW()-16)*10^9</f>
        <v>2842000000</v>
      </c>
      <c r="P4" s="6">
        <f ca="1">OFFSET(Volume!P4,17-ROW(),ROW()-17)*10^9</f>
        <v>2160000000</v>
      </c>
      <c r="Q4" s="6">
        <f ca="1">OFFSET(Volume!Q4,18-ROW(),ROW()-18)*10^9</f>
        <v>2745500000</v>
      </c>
      <c r="R4" s="6">
        <f ca="1">OFFSET(Volume!R4,19-ROW(),ROW()-19)*10^9</f>
        <v>2601000000</v>
      </c>
      <c r="S4" s="6">
        <f ca="1">OFFSET(Volume!S4,20-ROW(),ROW()-20)*10^9</f>
        <v>550000000</v>
      </c>
      <c r="T4" s="6">
        <f ca="1">OFFSET(Volume!T4,21-ROW(),ROW()-21)*10^9</f>
        <v>847000000</v>
      </c>
      <c r="U4" s="6">
        <f ca="1">OFFSET(Volume!U4,21-ROW(),ROW()-21)*10^9</f>
        <v>245000000</v>
      </c>
      <c r="V4" s="6">
        <f ca="1">OFFSET(Volume!V4,23-ROW(),ROW()-23)*10^9</f>
        <v>75000000</v>
      </c>
      <c r="W4" s="6"/>
    </row>
    <row r="5" spans="1:23" ht="16" customHeight="1">
      <c r="A5" s="3" t="s">
        <v>3</v>
      </c>
      <c r="B5" s="6">
        <f ca="1">OFFSET(Volume!B5,3-ROW(),ROW()-3)*10^9</f>
        <v>6776000000</v>
      </c>
      <c r="C5" s="6">
        <f ca="1">OFFSET(Volume!C5,4-ROW(),ROW()-4)*10^9</f>
        <v>11760000000</v>
      </c>
      <c r="D5" s="6">
        <f ca="1">OFFSET(Volume!D5,5-ROW(),ROW()-5)*10^9</f>
        <v>20480000000</v>
      </c>
      <c r="E5" s="6">
        <f ca="1">OFFSET(Volume!E5,6-ROW(),ROW()-6)*10^9</f>
        <v>12152000000</v>
      </c>
      <c r="F5" s="6">
        <f ca="1">OFFSET(Volume!F5,7-ROW(),ROW()-7)*10^9</f>
        <v>12615000000</v>
      </c>
      <c r="G5" s="6">
        <f ca="1">OFFSET(Volume!G5,8-ROW(),ROW()-8)*10^9</f>
        <v>6200000000</v>
      </c>
      <c r="H5" s="6">
        <f ca="1">OFFSET(Volume!H5,9-ROW(),ROW()-9)*10^9</f>
        <v>19800000000</v>
      </c>
      <c r="I5" s="6">
        <f ca="1">OFFSET(Volume!I5,10-ROW(),ROW()-10)*10^9</f>
        <v>5733000000</v>
      </c>
      <c r="J5" s="6">
        <f ca="1">OFFSET(Volume!J5,11-ROW(),ROW()-11)*10^9</f>
        <v>936000000</v>
      </c>
      <c r="K5" s="6">
        <f ca="1">OFFSET(Volume!K5,12-ROW(),ROW()-12)*10^9</f>
        <v>9040500000</v>
      </c>
      <c r="L5" s="6">
        <f ca="1">OFFSET(Volume!L5,13-ROW(),ROW()-13)*10^9</f>
        <v>2456500000</v>
      </c>
      <c r="M5" s="6">
        <f ca="1">OFFSET(Volume!M5,14-ROW(),ROW()-14)*10^9</f>
        <v>7670500000</v>
      </c>
      <c r="N5" s="6">
        <f ca="1">OFFSET(Volume!N5,15-ROW(),ROW()-15)*10^9</f>
        <v>6615000000</v>
      </c>
      <c r="O5" s="6">
        <f ca="1">OFFSET(Volume!O5,16-ROW(),ROW()-16)*10^9</f>
        <v>1774500000</v>
      </c>
      <c r="P5" s="6">
        <f ca="1">OFFSET(Volume!P5,17-ROW(),ROW()-17)*10^9</f>
        <v>1512500000</v>
      </c>
      <c r="Q5" s="6">
        <f ca="1">OFFSET(Volume!Q5,18-ROW(),ROW()-18)*10^9</f>
        <v>1224000000</v>
      </c>
      <c r="R5" s="6">
        <f ca="1">OFFSET(Volume!R5,19-ROW(),ROW()-19)*10^9</f>
        <v>1470000000</v>
      </c>
      <c r="S5" s="6">
        <f ca="1">OFFSET(Volume!S5,20-ROW(),ROW()-20)*10^9</f>
        <v>320000000</v>
      </c>
      <c r="T5" s="6">
        <f ca="1">OFFSET(Volume!T5,21-ROW(),ROW()-21)*10^9</f>
        <v>245000000</v>
      </c>
      <c r="U5" s="6">
        <f ca="1">OFFSET(Volume!U5,21-ROW(),ROW()-21)*10^9</f>
        <v>198000000</v>
      </c>
      <c r="V5" s="6">
        <f ca="1">OFFSET(Volume!V5,23-ROW(),ROW()-23)*10^9</f>
        <v>75000000</v>
      </c>
      <c r="W5" s="6"/>
    </row>
    <row r="6" spans="1:23" ht="16" customHeight="1">
      <c r="A6" s="3" t="s">
        <v>4</v>
      </c>
      <c r="B6" s="6">
        <f ca="1">OFFSET(Volume!B6,3-ROW(),ROW()-3)*10^9</f>
        <v>4050000000</v>
      </c>
      <c r="C6" s="6">
        <f ca="1">OFFSET(Volume!C6,4-ROW(),ROW()-4)*10^9</f>
        <v>9792000000</v>
      </c>
      <c r="D6" s="6">
        <f ca="1">OFFSET(Volume!D6,5-ROW(),ROW()-5)*10^9</f>
        <v>18000000000</v>
      </c>
      <c r="E6" s="6">
        <f ca="1">OFFSET(Volume!E6,6-ROW(),ROW()-6)*10^9</f>
        <v>9922000000</v>
      </c>
      <c r="F6" s="6">
        <f ca="1">OFFSET(Volume!F6,7-ROW(),ROW()-7)*10^9</f>
        <v>5324000000</v>
      </c>
      <c r="G6" s="6">
        <f ca="1">OFFSET(Volume!G6,8-ROW(),ROW()-8)*10^9</f>
        <v>2745500000</v>
      </c>
      <c r="H6" s="6">
        <f ca="1">OFFSET(Volume!H6,9-ROW(),ROW()-9)*10^9</f>
        <v>8954000000</v>
      </c>
      <c r="I6" s="6">
        <f ca="1">OFFSET(Volume!I6,10-ROW(),ROW()-10)*10^9</f>
        <v>3790500000</v>
      </c>
      <c r="J6" s="6">
        <f ca="1">OFFSET(Volume!J6,11-ROW(),ROW()-11)*10^9</f>
        <v>550000000</v>
      </c>
      <c r="K6" s="6">
        <f ca="1">OFFSET(Volume!K6,12-ROW(),ROW()-12)*10^9</f>
        <v>2475000000</v>
      </c>
      <c r="L6" s="6">
        <f ca="1">OFFSET(Volume!L6,13-ROW(),ROW()-13)*10^9</f>
        <v>2025000000</v>
      </c>
      <c r="M6" s="6">
        <f ca="1">OFFSET(Volume!M6,14-ROW(),ROW()-14)*10^9</f>
        <v>2890000000</v>
      </c>
      <c r="N6" s="6">
        <f ca="1">OFFSET(Volume!N6,15-ROW(),ROW()-15)*10^9</f>
        <v>5071500000</v>
      </c>
      <c r="O6" s="6">
        <f ca="1">OFFSET(Volume!O6,16-ROW(),ROW()-16)*10^9</f>
        <v>1372000000</v>
      </c>
      <c r="P6" s="6">
        <f ca="1">OFFSET(Volume!P6,17-ROW(),ROW()-17)*10^9</f>
        <v>1512000000</v>
      </c>
      <c r="Q6" s="6">
        <f ca="1">OFFSET(Volume!Q6,18-ROW(),ROW()-18)*10^9</f>
        <v>384000000</v>
      </c>
      <c r="R6" s="6">
        <f ca="1">OFFSET(Volume!R6,19-ROW(),ROW()-19)*10^9</f>
        <v>1267500000</v>
      </c>
      <c r="S6" s="6">
        <f ca="1">OFFSET(Volume!S6,20-ROW(),ROW()-20)*10^9</f>
        <v>256000000</v>
      </c>
      <c r="T6" s="6">
        <f ca="1">OFFSET(Volume!T6,21-ROW(),ROW()-21)*10^9</f>
        <v>198000000</v>
      </c>
      <c r="U6" s="6"/>
      <c r="V6" s="6">
        <f ca="1">OFFSET(Volume!V6,23-ROW(),ROW()-23)*10^9</f>
        <v>40000000</v>
      </c>
      <c r="W6" s="6"/>
    </row>
    <row r="7" spans="1:23" ht="16" customHeight="1">
      <c r="A7" s="3" t="s">
        <v>5</v>
      </c>
      <c r="B7" s="6">
        <f ca="1">OFFSET(Volume!B7,3-ROW(),ROW()-3)*10^9</f>
        <v>1862000000</v>
      </c>
      <c r="C7" s="6">
        <f ca="1">OFFSET(Volume!C7,4-ROW(),ROW()-4)*10^9</f>
        <v>9687500000</v>
      </c>
      <c r="D7" s="6">
        <f ca="1">OFFSET(Volume!D7,5-ROW(),ROW()-5)*10^9</f>
        <v>17661000000</v>
      </c>
      <c r="E7" s="6">
        <f ca="1">OFFSET(Volume!E7,6-ROW(),ROW()-6)*10^9</f>
        <v>4860000000</v>
      </c>
      <c r="F7" s="6">
        <f ca="1">OFFSET(Volume!F7,7-ROW(),ROW()-7)*10^9</f>
        <v>4800000000</v>
      </c>
      <c r="G7" s="6">
        <f ca="1">OFFSET(Volume!G7,8-ROW(),ROW()-8)*10^9</f>
        <v>1800000000</v>
      </c>
      <c r="H7" s="6">
        <f ca="1">OFFSET(Volume!H7,9-ROW(),ROW()-9)*10^9</f>
        <v>3072000000</v>
      </c>
      <c r="I7" s="6">
        <f ca="1">OFFSET(Volume!I7,10-ROW(),ROW()-10)*10^9</f>
        <v>2304000000</v>
      </c>
      <c r="J7" s="6">
        <f ca="1">OFFSET(Volume!J7,11-ROW(),ROW()-11)*10^9</f>
        <v>448000000</v>
      </c>
      <c r="K7" s="6">
        <f ca="1">OFFSET(Volume!K7,12-ROW(),ROW()-12)*10^9</f>
        <v>1000000000</v>
      </c>
      <c r="L7" s="6">
        <f ca="1">OFFSET(Volume!L7,13-ROW(),ROW()-13)*10^9</f>
        <v>1912500000</v>
      </c>
      <c r="M7" s="6">
        <f ca="1">OFFSET(Volume!M7,14-ROW(),ROW()-14)*10^9</f>
        <v>2176000000</v>
      </c>
      <c r="N7" s="6">
        <f ca="1">OFFSET(Volume!N7,15-ROW(),ROW()-15)*10^9</f>
        <v>3584000000</v>
      </c>
      <c r="O7" s="6">
        <f ca="1">OFFSET(Volume!O7,16-ROW(),ROW()-16)*10^9</f>
        <v>1331000000</v>
      </c>
      <c r="P7" s="6">
        <f ca="1">OFFSET(Volume!P7,17-ROW(),ROW()-17)*10^9</f>
        <v>1270500000</v>
      </c>
      <c r="Q7" s="6">
        <f ca="1">OFFSET(Volume!Q7,18-ROW(),ROW()-18)*10^9</f>
        <v>256000000</v>
      </c>
      <c r="R7" s="6">
        <f ca="1">OFFSET(Volume!R7,19-ROW(),ROW()-19)*10^9</f>
        <v>1183000000</v>
      </c>
      <c r="S7" s="6"/>
      <c r="T7" s="6">
        <f ca="1">OFFSET(Volume!T7,21-ROW(),ROW()-21)*10^9</f>
        <v>180000000</v>
      </c>
      <c r="U7" s="6"/>
      <c r="V7" s="6">
        <f ca="1">OFFSET(Volume!V7,23-ROW(),ROW()-23)*10^9</f>
        <v>40000000</v>
      </c>
      <c r="W7" s="6"/>
    </row>
    <row r="8" spans="1:23" ht="16" customHeight="1">
      <c r="A8" s="3" t="s">
        <v>6</v>
      </c>
      <c r="B8" s="6">
        <f ca="1">OFFSET(Volume!B8,3-ROW(),ROW()-3)*10^9</f>
        <v>1224000000</v>
      </c>
      <c r="C8" s="6">
        <f ca="1">OFFSET(Volume!C8,4-ROW(),ROW()-4)*10^9</f>
        <v>7502000000</v>
      </c>
      <c r="D8" s="41">
        <f ca="1">OFFSET(Volume!D8,5-ROW(),ROW()-5)*10^9</f>
        <v>9802000000</v>
      </c>
      <c r="E8" s="6">
        <f ca="1">OFFSET(Volume!E8,6-ROW(),ROW()-6)*10^9</f>
        <v>3901500000</v>
      </c>
      <c r="F8" s="6">
        <f ca="1">OFFSET(Volume!F8,7-ROW(),ROW()-7)*10^9</f>
        <v>4211999999.9999995</v>
      </c>
      <c r="G8" s="6">
        <f ca="1">OFFSET(Volume!G8,8-ROW(),ROW()-8)*10^9</f>
        <v>1372000000</v>
      </c>
      <c r="H8" s="6">
        <f ca="1">OFFSET(Volume!H8,9-ROW(),ROW()-9)*10^9</f>
        <v>2925000000</v>
      </c>
      <c r="I8" s="6">
        <f ca="1">OFFSET(Volume!I8,10-ROW(),ROW()-10)*10^9</f>
        <v>1267500000</v>
      </c>
      <c r="J8" s="6">
        <f ca="1">OFFSET(Volume!J8,11-ROW(),ROW()-11)*10^9</f>
        <v>196000000</v>
      </c>
      <c r="K8" s="6"/>
      <c r="L8" s="6">
        <f ca="1">OFFSET(Volume!L8,13-ROW(),ROW()-13)*10^9</f>
        <v>1687500000</v>
      </c>
      <c r="M8" s="6">
        <f ca="1">OFFSET(Volume!M8,14-ROW(),ROW()-14)*10^9</f>
        <v>1470000000</v>
      </c>
      <c r="N8" s="6">
        <f ca="1">OFFSET(Volume!N8,15-ROW(),ROW()-15)*10^9</f>
        <v>3328000000</v>
      </c>
      <c r="O8" s="6">
        <f ca="1">OFFSET(Volume!O8,16-ROW(),ROW()-16)*10^9</f>
        <v>1200000000</v>
      </c>
      <c r="P8" s="6">
        <f ca="1">OFFSET(Volume!P8,17-ROW(),ROW()-17)*10^9</f>
        <v>1152000000</v>
      </c>
      <c r="Q8" s="6">
        <f ca="1">OFFSET(Volume!Q8,18-ROW(),ROW()-18)*10^9</f>
        <v>144000000</v>
      </c>
      <c r="R8" s="6">
        <f ca="1">OFFSET(Volume!R8,19-ROW(),ROW()-19)*10^9</f>
        <v>1080000000</v>
      </c>
      <c r="S8" s="6"/>
      <c r="T8" s="6">
        <f ca="1">OFFSET(Volume!T8,21-ROW(),ROW()-21)*10^9</f>
        <v>144000000</v>
      </c>
      <c r="U8" s="6"/>
      <c r="V8" s="6">
        <f ca="1">OFFSET(Volume!V8,23-ROW(),ROW()-23)*10^9</f>
        <v>40000000</v>
      </c>
      <c r="W8" s="6"/>
    </row>
    <row r="9" spans="1:23" ht="16" customHeight="1">
      <c r="A9" s="3" t="s">
        <v>7</v>
      </c>
      <c r="B9" s="6">
        <f ca="1">OFFSET(Volume!B9,3-ROW(),ROW()-3)*10^9</f>
        <v>750000000</v>
      </c>
      <c r="C9" s="6">
        <f ca="1">OFFSET(Volume!C9,4-ROW(),ROW()-4)*10^9</f>
        <v>6877000000</v>
      </c>
      <c r="D9" s="6">
        <f ca="1">OFFSET(Volume!D9,5-ROW(),ROW()-5)*10^9</f>
        <v>7141500000</v>
      </c>
      <c r="E9" s="6">
        <f ca="1">OFFSET(Volume!E9,6-ROW(),ROW()-6)*10^9</f>
        <v>3564000000</v>
      </c>
      <c r="F9" s="6">
        <f ca="1">OFFSET(Volume!F9,7-ROW(),ROW()-7)*10^9</f>
        <v>3034500000</v>
      </c>
      <c r="G9" s="6">
        <f ca="1">OFFSET(Volume!G9,8-ROW(),ROW()-8)*10^9</f>
        <v>500000000</v>
      </c>
      <c r="H9" s="6">
        <f ca="1">OFFSET(Volume!H9,9-ROW(),ROW()-9)*10^9</f>
        <v>1666000000</v>
      </c>
      <c r="I9" s="6">
        <f ca="1">OFFSET(Volume!I9,10-ROW(),ROW()-10)*10^9</f>
        <v>445500000</v>
      </c>
      <c r="J9" s="6">
        <f ca="1">OFFSET(Volume!J9,11-ROW(),ROW()-11)*10^9</f>
        <v>180000000</v>
      </c>
      <c r="K9" s="6"/>
      <c r="L9" s="6">
        <f ca="1">OFFSET(Volume!L9,13-ROW(),ROW()-13)*10^9</f>
        <v>1267500000</v>
      </c>
      <c r="M9" s="6">
        <f ca="1">OFFSET(Volume!M9,14-ROW(),ROW()-14)*10^9</f>
        <v>1440000000</v>
      </c>
      <c r="N9" s="6">
        <f ca="1">OFFSET(Volume!N9,15-ROW(),ROW()-15)*10^9</f>
        <v>2688000000</v>
      </c>
      <c r="O9" s="6">
        <f ca="1">OFFSET(Volume!O9,16-ROW(),ROW()-16)*10^9</f>
        <v>1183000000</v>
      </c>
      <c r="P9" s="6">
        <f ca="1">OFFSET(Volume!P9,17-ROW(),ROW()-17)*10^9</f>
        <v>786500000</v>
      </c>
      <c r="Q9" s="6">
        <f ca="1">OFFSET(Volume!Q9,18-ROW(),ROW()-18)*10^9</f>
        <v>87500000</v>
      </c>
      <c r="R9" s="6">
        <f ca="1">OFFSET(Volume!R9,19-ROW(),ROW()-19)*10^9</f>
        <v>1008000000</v>
      </c>
      <c r="S9" s="6"/>
      <c r="T9" s="6">
        <f ca="1">OFFSET(Volume!T9,21-ROW(),ROW()-21)*10^9</f>
        <v>144000000</v>
      </c>
      <c r="U9" s="6"/>
      <c r="V9" s="6">
        <f ca="1">OFFSET(Volume!V9,23-ROW(),ROW()-23)*10^9</f>
        <v>32000000</v>
      </c>
      <c r="W9" s="6"/>
    </row>
    <row r="10" spans="1:23" ht="16" customHeight="1">
      <c r="A10" s="3" t="s">
        <v>8</v>
      </c>
      <c r="B10" s="6">
        <f ca="1">OFFSET(Volume!B10,3-ROW(),ROW()-3)*10^9</f>
        <v>550000000</v>
      </c>
      <c r="C10" s="6">
        <f ca="1">OFFSET(Volume!C10,4-ROW(),ROW()-4)*10^9</f>
        <v>6534000000</v>
      </c>
      <c r="D10" s="6">
        <f ca="1">OFFSET(Volume!D10,5-ROW(),ROW()-5)*10^9</f>
        <v>3712000000</v>
      </c>
      <c r="E10" s="6">
        <f ca="1">OFFSET(Volume!E10,6-ROW(),ROW()-6)*10^9</f>
        <v>2944000000</v>
      </c>
      <c r="F10" s="6">
        <f ca="1">OFFSET(Volume!F10,7-ROW(),ROW()-7)*10^9</f>
        <v>2688000000</v>
      </c>
      <c r="G10" s="6">
        <f ca="1">OFFSET(Volume!G10,8-ROW(),ROW()-8)*10^9</f>
        <v>144000000</v>
      </c>
      <c r="H10" s="6">
        <f ca="1">OFFSET(Volume!H10,9-ROW(),ROW()-9)*10^9</f>
        <v>1352000000</v>
      </c>
      <c r="I10" s="6">
        <f ca="1">OFFSET(Volume!I10,10-ROW(),ROW()-10)*10^9</f>
        <v>256000000</v>
      </c>
      <c r="J10" s="6">
        <f ca="1">OFFSET(Volume!J10,11-ROW(),ROW()-11)*10^9</f>
        <v>171500000</v>
      </c>
      <c r="K10" s="6"/>
      <c r="L10" s="6">
        <f ca="1">OFFSET(Volume!L10,13-ROW(),ROW()-13)*10^9</f>
        <v>1080000000</v>
      </c>
      <c r="M10" s="6">
        <f ca="1">OFFSET(Volume!M10,14-ROW(),ROW()-14)*10^9</f>
        <v>607500000</v>
      </c>
      <c r="N10" s="6">
        <f ca="1">OFFSET(Volume!N10,15-ROW(),ROW()-15)*10^9</f>
        <v>936000000</v>
      </c>
      <c r="O10" s="6">
        <f ca="1">OFFSET(Volume!O10,16-ROW(),ROW()-16)*10^9</f>
        <v>1098500000</v>
      </c>
      <c r="P10" s="6">
        <f ca="1">OFFSET(Volume!P10,17-ROW(),ROW()-17)*10^9</f>
        <v>648000000</v>
      </c>
      <c r="Q10" s="6"/>
      <c r="R10" s="6">
        <f ca="1">OFFSET(Volume!R10,19-ROW(),ROW()-19)*10^9</f>
        <v>847000000</v>
      </c>
      <c r="S10" s="6"/>
      <c r="T10" s="6">
        <f ca="1">OFFSET(Volume!T10,21-ROW(),ROW()-21)*10^9</f>
        <v>126000000</v>
      </c>
      <c r="U10" s="6"/>
      <c r="V10" s="6">
        <f ca="1">OFFSET(Volume!V10,23-ROW(),ROW()-23)*10^9</f>
        <v>32000000</v>
      </c>
      <c r="W10" s="6"/>
    </row>
    <row r="11" spans="1:23" ht="16" customHeight="1">
      <c r="A11" s="3" t="s">
        <v>9</v>
      </c>
      <c r="B11" s="6">
        <f ca="1">OFFSET(Volume!B11,3-ROW(),ROW()-3)*10^9</f>
        <v>544000000</v>
      </c>
      <c r="C11" s="6">
        <f ca="1">OFFSET(Volume!C11,4-ROW(),ROW()-4)*10^9</f>
        <v>3610000000</v>
      </c>
      <c r="D11" s="6">
        <f ca="1">OFFSET(Volume!D11,5-ROW(),ROW()-5)*10^9</f>
        <v>3072000000</v>
      </c>
      <c r="E11" s="6">
        <f ca="1">OFFSET(Volume!E11,6-ROW(),ROW()-6)*10^9</f>
        <v>2944000000</v>
      </c>
      <c r="F11" s="6">
        <f ca="1">OFFSET(Volume!F11,7-ROW(),ROW()-7)*10^9</f>
        <v>1267500000</v>
      </c>
      <c r="G11" s="6"/>
      <c r="H11" s="6">
        <f ca="1">OFFSET(Volume!H11,9-ROW(),ROW()-9)*10^9</f>
        <v>1149500000</v>
      </c>
      <c r="I11" s="6"/>
      <c r="J11" s="6">
        <f ca="1">OFFSET(Volume!J11,11-ROW(),ROW()-11)*10^9</f>
        <v>126000000</v>
      </c>
      <c r="K11" s="6"/>
      <c r="L11" s="6">
        <f ca="1">OFFSET(Volume!L11,13-ROW(),ROW()-13)*10^9</f>
        <v>750000000</v>
      </c>
      <c r="M11" s="6">
        <f ca="1">OFFSET(Volume!M11,14-ROW(),ROW()-14)*10^9</f>
        <v>550000000</v>
      </c>
      <c r="N11" s="6">
        <f ca="1">OFFSET(Volume!N11,15-ROW(),ROW()-15)*10^9</f>
        <v>288000000</v>
      </c>
      <c r="O11" s="6">
        <f ca="1">OFFSET(Volume!O11,16-ROW(),ROW()-16)*10^9</f>
        <v>1098500000</v>
      </c>
      <c r="P11" s="6"/>
      <c r="Q11" s="6"/>
      <c r="R11" s="6">
        <f ca="1">OFFSET(Volume!R11,19-ROW(),ROW()-19)*10^9</f>
        <v>445500000</v>
      </c>
      <c r="S11" s="6"/>
      <c r="T11" s="6">
        <f ca="1">OFFSET(Volume!T11,21-ROW(),ROW()-21)*10^9</f>
        <v>48000000</v>
      </c>
      <c r="U11" s="6"/>
      <c r="V11" s="6">
        <f ca="1">OFFSET(Volume!V11,23-ROW(),ROW()-23)*10^9</f>
        <v>32000000</v>
      </c>
      <c r="W11" s="6"/>
    </row>
    <row r="12" spans="1:23" ht="16" customHeight="1">
      <c r="A12" s="3" t="s">
        <v>10</v>
      </c>
      <c r="B12" s="6">
        <f ca="1">OFFSET(Volume!B12,3-ROW(),ROW()-3)*10^9</f>
        <v>486000000</v>
      </c>
      <c r="C12" s="6">
        <f ca="1">OFFSET(Volume!C12,4-ROW(),ROW()-4)*10^9</f>
        <v>3564000000</v>
      </c>
      <c r="D12" s="6">
        <f ca="1">OFFSET(Volume!D12,5-ROW(),ROW()-5)*10^9</f>
        <v>2890000000</v>
      </c>
      <c r="E12" s="6">
        <f ca="1">OFFSET(Volume!E12,6-ROW(),ROW()-6)*10^9</f>
        <v>2916000000</v>
      </c>
      <c r="F12" s="6">
        <f ca="1">OFFSET(Volume!F12,7-ROW(),ROW()-7)*10^9</f>
        <v>1008000000</v>
      </c>
      <c r="G12" s="6"/>
      <c r="H12" s="6">
        <f ca="1">OFFSET(Volume!H12,9-ROW(),ROW()-9)*10^9</f>
        <v>1008000000</v>
      </c>
      <c r="I12" s="6"/>
      <c r="J12" s="6">
        <f ca="1">OFFSET(Volume!J12,11-ROW(),ROW()-11)*10^9</f>
        <v>126000000</v>
      </c>
      <c r="K12" s="6"/>
      <c r="L12" s="6">
        <f ca="1">OFFSET(Volume!L12,13-ROW(),ROW()-13)*10^9</f>
        <v>352000000</v>
      </c>
      <c r="M12" s="6">
        <f ca="1">OFFSET(Volume!M12,14-ROW(),ROW()-14)*10^9</f>
        <v>550000000</v>
      </c>
      <c r="N12" s="6"/>
      <c r="O12" s="6">
        <f ca="1">OFFSET(Volume!O12,16-ROW(),ROW()-16)*10^9</f>
        <v>729000000</v>
      </c>
      <c r="P12" s="6"/>
      <c r="Q12" s="6"/>
      <c r="R12" s="6">
        <f ca="1">OFFSET(Volume!R12,19-ROW(),ROW()-19)*10^9</f>
        <v>352000000</v>
      </c>
      <c r="S12" s="6"/>
      <c r="T12" s="6"/>
      <c r="U12" s="6"/>
      <c r="V12" s="6">
        <f ca="1">OFFSET(Volume!V12,23-ROW(),ROW()-23)*10^9</f>
        <v>18000000</v>
      </c>
      <c r="W12" s="6"/>
    </row>
    <row r="13" spans="1:23" ht="16" customHeight="1">
      <c r="A13" s="3" t="s">
        <v>11</v>
      </c>
      <c r="B13" s="6">
        <f ca="1">OFFSET(Volume!B13,3-ROW(),ROW()-3)*10^9</f>
        <v>405000000</v>
      </c>
      <c r="C13" s="6">
        <f ca="1">OFFSET(Volume!C13,4-ROW(),ROW()-4)*10^9</f>
        <v>3034500000</v>
      </c>
      <c r="D13" s="6">
        <f ca="1">OFFSET(Volume!D13,5-ROW(),ROW()-5)*10^9</f>
        <v>2456500000</v>
      </c>
      <c r="E13" s="6">
        <f ca="1">OFFSET(Volume!E13,6-ROW(),ROW()-6)*10^9</f>
        <v>2816000000</v>
      </c>
      <c r="F13" s="6">
        <f ca="1">OFFSET(Volume!F13,7-ROW(),ROW()-7)*10^9</f>
        <v>729000000</v>
      </c>
      <c r="G13" s="6"/>
      <c r="H13" s="6">
        <f ca="1">OFFSET(Volume!H13,9-ROW(),ROW()-9)*10^9</f>
        <v>650000000</v>
      </c>
      <c r="I13" s="6"/>
      <c r="J13" s="6">
        <f ca="1">OFFSET(Volume!J13,11-ROW(),ROW()-11)*10^9</f>
        <v>108000000</v>
      </c>
      <c r="K13" s="6"/>
      <c r="L13" s="6">
        <f ca="1">OFFSET(Volume!L13,13-ROW(),ROW()-13)*10^9</f>
        <v>320000000</v>
      </c>
      <c r="M13" s="6">
        <f ca="1">OFFSET(Volume!M13,14-ROW(),ROW()-14)*10^9</f>
        <v>405000000</v>
      </c>
      <c r="N13" s="6"/>
      <c r="O13" s="6">
        <f ca="1">OFFSET(Volume!O13,16-ROW(),ROW()-16)*10^9</f>
        <v>665500000</v>
      </c>
      <c r="P13" s="6"/>
      <c r="Q13" s="6"/>
      <c r="R13" s="6"/>
      <c r="S13" s="6"/>
      <c r="T13" s="6"/>
      <c r="U13" s="6"/>
      <c r="V13" s="6">
        <f ca="1">OFFSET(Volume!V13,23-ROW(),ROW()-23)*10^9</f>
        <v>18000000</v>
      </c>
      <c r="W13" s="6"/>
    </row>
    <row r="14" spans="1:23" ht="16" customHeight="1">
      <c r="A14" s="3" t="s">
        <v>12</v>
      </c>
      <c r="B14" s="6">
        <f ca="1">OFFSET(Volume!B14,3-ROW(),ROW()-3)*10^9</f>
        <v>384000000</v>
      </c>
      <c r="C14" s="6">
        <f ca="1">OFFSET(Volume!C14,4-ROW(),ROW()-4)*10^9</f>
        <v>2456500000</v>
      </c>
      <c r="D14" s="6">
        <f ca="1">OFFSET(Volume!D14,5-ROW(),ROW()-5)*10^9</f>
        <v>1912500000</v>
      </c>
      <c r="E14" s="6">
        <f ca="1">OFFSET(Volume!E14,6-ROW(),ROW()-6)*10^9</f>
        <v>2560000000</v>
      </c>
      <c r="F14" s="6">
        <f ca="1">OFFSET(Volume!F14,7-ROW(),ROW()-7)*10^9</f>
        <v>700000000</v>
      </c>
      <c r="G14" s="6"/>
      <c r="H14" s="6">
        <f ca="1">OFFSET(Volume!H14,9-ROW(),ROW()-9)*10^9</f>
        <v>650000000</v>
      </c>
      <c r="I14" s="6"/>
      <c r="J14" s="6">
        <f ca="1">OFFSET(Volume!J14,11-ROW(),ROW()-11)*10^9</f>
        <v>108000000</v>
      </c>
      <c r="K14" s="6"/>
      <c r="L14" s="6">
        <f ca="1">OFFSET(Volume!L14,13-ROW(),ROW()-13)*10^9</f>
        <v>171500000</v>
      </c>
      <c r="M14" s="6">
        <f ca="1">OFFSET(Volume!M14,14-ROW(),ROW()-14)*10^9</f>
        <v>269500000</v>
      </c>
      <c r="N14" s="6"/>
      <c r="O14" s="6">
        <f ca="1">OFFSET(Volume!O14,16-ROW(),ROW()-16)*10^9</f>
        <v>392000000</v>
      </c>
      <c r="P14" s="6"/>
      <c r="Q14" s="6"/>
      <c r="R14" s="6"/>
      <c r="S14" s="6"/>
      <c r="T14" s="6"/>
      <c r="U14" s="6"/>
      <c r="V14" s="6">
        <f ca="1">OFFSET(Volume!V14,23-ROW(),ROW()-23)*10^9</f>
        <v>18000000</v>
      </c>
      <c r="W14" s="6"/>
    </row>
    <row r="15" spans="1:23" ht="16" customHeight="1">
      <c r="A15" s="3" t="s">
        <v>13</v>
      </c>
      <c r="B15" s="6">
        <f ca="1">OFFSET(Volume!B15,3-ROW(),ROW()-3)*10^9</f>
        <v>320000000</v>
      </c>
      <c r="C15" s="6">
        <f ca="1">OFFSET(Volume!C15,4-ROW(),ROW()-4)*10^9</f>
        <v>1912500000</v>
      </c>
      <c r="D15" s="6">
        <f ca="1">OFFSET(Volume!D15,5-ROW(),ROW()-5)*10^9</f>
        <v>1470000000</v>
      </c>
      <c r="E15" s="6">
        <f ca="1">OFFSET(Volume!E15,6-ROW(),ROW()-6)*10^9</f>
        <v>2304000000</v>
      </c>
      <c r="F15" s="6">
        <f ca="1">OFFSET(Volume!F15,7-ROW(),ROW()-7)*10^9</f>
        <v>600000000</v>
      </c>
      <c r="G15" s="6"/>
      <c r="H15" s="6">
        <f ca="1">OFFSET(Volume!H15,9-ROW(),ROW()-9)*10^9</f>
        <v>544000000</v>
      </c>
      <c r="I15" s="6"/>
      <c r="J15" s="6">
        <f ca="1">OFFSET(Volume!J15,11-ROW(),ROW()-11)*10^9</f>
        <v>75000000</v>
      </c>
      <c r="K15" s="6"/>
      <c r="L15" s="6">
        <f ca="1">OFFSET(Volume!L15,13-ROW(),ROW()-13)*10^9</f>
        <v>87500000</v>
      </c>
      <c r="M15" s="6">
        <f ca="1">OFFSET(Volume!M15,14-ROW(),ROW()-14)*10^9</f>
        <v>245000000</v>
      </c>
      <c r="N15" s="6"/>
      <c r="O15" s="6">
        <f ca="1">OFFSET(Volume!O15,16-ROW(),ROW()-16)*10^9</f>
        <v>352000000</v>
      </c>
      <c r="P15" s="6"/>
      <c r="Q15" s="6"/>
      <c r="R15" s="6"/>
      <c r="S15" s="6"/>
      <c r="T15" s="6"/>
      <c r="U15" s="6"/>
      <c r="V15" s="6">
        <f ca="1">OFFSET(Volume!V15,23-ROW(),ROW()-23)*10^9</f>
        <v>13500000</v>
      </c>
      <c r="W15" s="6"/>
    </row>
    <row r="16" spans="1:23" ht="16" customHeight="1">
      <c r="A16" s="3" t="s">
        <v>14</v>
      </c>
      <c r="B16" s="6">
        <f ca="1">OFFSET(Volume!B16,3-ROW(),ROW()-3)*10^9</f>
        <v>220500000</v>
      </c>
      <c r="C16" s="6">
        <f ca="1">OFFSET(Volume!C16,4-ROW(),ROW()-4)*10^9</f>
        <v>1666000000</v>
      </c>
      <c r="D16" s="6">
        <f ca="1">OFFSET(Volume!D16,5-ROW(),ROW()-5)*10^9</f>
        <v>1028500000</v>
      </c>
      <c r="E16" s="6">
        <f ca="1">OFFSET(Volume!E16,6-ROW(),ROW()-6)*10^9</f>
        <v>2304000000</v>
      </c>
      <c r="F16" s="6">
        <f ca="1">OFFSET(Volume!F16,7-ROW(),ROW()-7)*10^9</f>
        <v>445500000</v>
      </c>
      <c r="G16" s="6"/>
      <c r="H16" s="6">
        <f ca="1">OFFSET(Volume!H16,9-ROW(),ROW()-9)*10^9</f>
        <v>486000000</v>
      </c>
      <c r="I16" s="6"/>
      <c r="J16" s="6">
        <f ca="1">OFFSET(Volume!J16,11-ROW(),ROW()-11)*10^9</f>
        <v>62500000</v>
      </c>
      <c r="K16" s="6"/>
      <c r="L16" s="6">
        <f ca="1">OFFSET(Volume!L16,13-ROW(),ROW()-13)*10^9</f>
        <v>75000000</v>
      </c>
      <c r="M16" s="6">
        <f ca="1">OFFSET(Volume!M16,14-ROW(),ROW()-14)*10^9</f>
        <v>220500000</v>
      </c>
      <c r="N16" s="6"/>
      <c r="O16" s="6"/>
      <c r="P16" s="6"/>
      <c r="Q16" s="6"/>
      <c r="R16" s="6"/>
      <c r="S16" s="6"/>
      <c r="T16" s="6"/>
      <c r="U16" s="6"/>
      <c r="V16" s="6">
        <f ca="1">OFFSET(Volume!V16,23-ROW(),ROW()-23)*10^9</f>
        <v>13500000</v>
      </c>
      <c r="W16" s="6"/>
    </row>
    <row r="17" spans="1:23" ht="16" customHeight="1">
      <c r="A17" s="3" t="s">
        <v>15</v>
      </c>
      <c r="B17" s="6">
        <f ca="1">OFFSET(Volume!B17,3-ROW(),ROW()-3)*10^9</f>
        <v>220500000</v>
      </c>
      <c r="C17" s="6">
        <f ca="1">OFFSET(Volume!C17,4-ROW(),ROW()-4)*10^9</f>
        <v>1008000000</v>
      </c>
      <c r="D17" s="6">
        <f ca="1">OFFSET(Volume!D17,5-ROW(),ROW()-5)*10^9</f>
        <v>936000000</v>
      </c>
      <c r="E17" s="6">
        <f ca="1">OFFSET(Volume!E17,6-ROW(),ROW()-6)*10^9</f>
        <v>2137500000.0000002</v>
      </c>
      <c r="F17" s="6">
        <f ca="1">OFFSET(Volume!F17,7-ROW(),ROW()-7)*10^9</f>
        <v>320000000</v>
      </c>
      <c r="G17" s="6"/>
      <c r="H17" s="6">
        <f ca="1">OFFSET(Volume!H17,9-ROW(),ROW()-9)*10^9</f>
        <v>320000000</v>
      </c>
      <c r="I17" s="6"/>
      <c r="J17" s="6">
        <f ca="1">OFFSET(Volume!J17,11-ROW(),ROW()-11)*10^9</f>
        <v>40000000</v>
      </c>
      <c r="K17" s="6"/>
      <c r="L17" s="6"/>
      <c r="M17" s="6">
        <f ca="1">OFFSET(Volume!M17,14-ROW(),ROW()-14)*10^9</f>
        <v>162000000</v>
      </c>
      <c r="N17" s="6"/>
      <c r="O17" s="6"/>
      <c r="P17" s="6"/>
      <c r="Q17" s="6"/>
      <c r="R17" s="6"/>
      <c r="S17" s="6"/>
      <c r="T17" s="6"/>
      <c r="U17" s="6"/>
      <c r="V17" s="6">
        <f ca="1">OFFSET(Volume!V17,23-ROW(),ROW()-23)*10^9</f>
        <v>13500000</v>
      </c>
      <c r="W17" s="6"/>
    </row>
    <row r="18" spans="1:23" ht="16" customHeight="1">
      <c r="A18" s="3" t="s">
        <v>16</v>
      </c>
      <c r="B18" s="6">
        <f ca="1">OFFSET(Volume!B18,3-ROW(),ROW()-3)*10^9</f>
        <v>220500000</v>
      </c>
      <c r="C18" s="6">
        <f ca="1">OFFSET(Volume!C18,4-ROW(),ROW()-4)*10^9</f>
        <v>288000000</v>
      </c>
      <c r="D18" s="6">
        <f ca="1">OFFSET(Volume!D18,5-ROW(),ROW()-5)*10^9</f>
        <v>786500000</v>
      </c>
      <c r="E18" s="6">
        <f ca="1">OFFSET(Volume!E18,6-ROW(),ROW()-6)*10^9</f>
        <v>2057999999.9999998</v>
      </c>
      <c r="F18" s="6">
        <f ca="1">OFFSET(Volume!F18,7-ROW(),ROW()-7)*10^9</f>
        <v>220500000</v>
      </c>
      <c r="G18" s="6"/>
      <c r="H18" s="6">
        <f ca="1">OFFSET(Volume!H18,9-ROW(),ROW()-9)*10^9</f>
        <v>269500000</v>
      </c>
      <c r="I18" s="6"/>
      <c r="J18" s="6">
        <f ca="1">OFFSET(Volume!J18,11-ROW(),ROW()-11)*10^9</f>
        <v>40000000</v>
      </c>
      <c r="K18" s="6"/>
      <c r="L18" s="6"/>
      <c r="M18" s="6">
        <f ca="1">OFFSET(Volume!M18,14-ROW(),ROW()-14)*10^9</f>
        <v>126000000</v>
      </c>
      <c r="N18" s="6"/>
      <c r="O18" s="6"/>
      <c r="P18" s="6"/>
      <c r="Q18" s="6"/>
      <c r="R18" s="6"/>
      <c r="S18" s="6"/>
      <c r="T18" s="6"/>
      <c r="U18" s="6"/>
      <c r="V18" s="6">
        <f ca="1">OFFSET(Volume!V18,23-ROW(),ROW()-23)*10^9</f>
        <v>13500000</v>
      </c>
      <c r="W18" s="6"/>
    </row>
    <row r="19" spans="1:23" ht="16" customHeight="1">
      <c r="A19" s="3" t="s">
        <v>17</v>
      </c>
      <c r="B19" s="6">
        <f ca="1">OFFSET(Volume!B19,3-ROW(),ROW()-3)*10^9</f>
        <v>196000000</v>
      </c>
      <c r="C19" s="6">
        <f ca="1">OFFSET(Volume!C19,4-ROW(),ROW()-4)*10^9</f>
        <v>269500000</v>
      </c>
      <c r="D19" s="6">
        <f ca="1">OFFSET(Volume!D19,5-ROW(),ROW()-5)*10^9</f>
        <v>786500000</v>
      </c>
      <c r="E19" s="6">
        <f ca="1">OFFSET(Volume!E19,6-ROW(),ROW()-6)*10^9</f>
        <v>1872000000</v>
      </c>
      <c r="F19" s="6">
        <f ca="1">OFFSET(Volume!F19,7-ROW(),ROW()-7)*10^9</f>
        <v>220500000</v>
      </c>
      <c r="G19" s="6"/>
      <c r="H19" s="6">
        <f ca="1">OFFSET(Volume!H19,9-ROW(),ROW()-9)*10^9</f>
        <v>196000000</v>
      </c>
      <c r="I19" s="6"/>
      <c r="J19" s="6">
        <f ca="1">OFFSET(Volume!J19,11-ROW(),ROW()-11)*10^9</f>
        <v>32000000</v>
      </c>
      <c r="K19" s="6"/>
      <c r="L19" s="6"/>
      <c r="M19" s="6">
        <f ca="1">OFFSET(Volume!M19,14-ROW(),ROW()-14)*10^9</f>
        <v>108000000</v>
      </c>
      <c r="N19" s="6"/>
      <c r="O19" s="6"/>
      <c r="P19" s="6"/>
      <c r="Q19" s="6"/>
      <c r="R19" s="6"/>
      <c r="S19" s="6"/>
      <c r="T19" s="6"/>
      <c r="U19" s="6"/>
      <c r="V19" s="6">
        <f ca="1">OFFSET(Volume!V19,23-ROW(),ROW()-23)*10^9</f>
        <v>13500000</v>
      </c>
      <c r="W19" s="6"/>
    </row>
    <row r="20" spans="1:23" ht="16" customHeight="1">
      <c r="A20" s="3" t="s">
        <v>18</v>
      </c>
      <c r="B20" s="6">
        <f ca="1">OFFSET(Volume!B20,3-ROW(),ROW()-3)*10^9</f>
        <v>62500000</v>
      </c>
      <c r="C20" s="6">
        <f ca="1">OFFSET(Volume!C20,4-ROW(),ROW()-4)*10^9</f>
        <v>171500000</v>
      </c>
      <c r="D20" s="6">
        <f ca="1">OFFSET(Volume!D20,5-ROW(),ROW()-5)*10^9</f>
        <v>786500000</v>
      </c>
      <c r="E20" s="6">
        <f ca="1">OFFSET(Volume!E20,6-ROW(),ROW()-6)*10^9</f>
        <v>1690000000</v>
      </c>
      <c r="F20" s="6">
        <f ca="1">OFFSET(Volume!F20,7-ROW(),ROW()-7)*10^9</f>
        <v>196000000</v>
      </c>
      <c r="G20" s="6"/>
      <c r="H20" s="6">
        <f ca="1">OFFSET(Volume!H20,9-ROW(),ROW()-9)*10^9</f>
        <v>196000000</v>
      </c>
      <c r="I20" s="6"/>
      <c r="J20" s="6">
        <f ca="1">OFFSET(Volume!J20,11-ROW(),ROW()-11)*10^9</f>
        <v>32000000</v>
      </c>
      <c r="K20" s="6"/>
      <c r="L20" s="6"/>
      <c r="M20" s="6">
        <f ca="1">OFFSET(Volume!M20,14-ROW(),ROW()-14)*10^9</f>
        <v>87500000</v>
      </c>
      <c r="N20" s="6"/>
      <c r="O20" s="6"/>
      <c r="P20" s="6"/>
      <c r="Q20" s="6"/>
      <c r="R20" s="6"/>
      <c r="S20" s="6"/>
      <c r="T20" s="6"/>
      <c r="U20" s="6"/>
      <c r="V20" s="6">
        <f ca="1">OFFSET(Volume!V20,23-ROW(),ROW()-23)*10^9</f>
        <v>13500000</v>
      </c>
      <c r="W20" s="6"/>
    </row>
    <row r="21" spans="1:23" ht="16" customHeight="1">
      <c r="A21" s="3" t="s">
        <v>19</v>
      </c>
      <c r="B21" s="6"/>
      <c r="C21" s="6">
        <f ca="1">OFFSET(Volume!C21,4-ROW(),ROW()-4)*10^9</f>
        <v>126000000</v>
      </c>
      <c r="D21" s="6">
        <f ca="1">OFFSET(Volume!D21,5-ROW(),ROW()-5)*10^9</f>
        <v>700000000</v>
      </c>
      <c r="E21" s="6">
        <f ca="1">OFFSET(Volume!E21,6-ROW(),ROW()-6)*10^9</f>
        <v>1690000000</v>
      </c>
      <c r="F21" s="6">
        <f ca="1">OFFSET(Volume!F21,7-ROW(),ROW()-7)*10^9</f>
        <v>171500000</v>
      </c>
      <c r="G21" s="6"/>
      <c r="H21" s="6">
        <f ca="1">OFFSET(Volume!H21,9-ROW(),ROW()-9)*10^9</f>
        <v>171500000</v>
      </c>
      <c r="I21" s="6"/>
      <c r="J21" s="6">
        <f ca="1">OFFSET(Volume!J21,11-ROW(),ROW()-11)*10^9</f>
        <v>32000000</v>
      </c>
      <c r="K21" s="6"/>
      <c r="L21" s="6"/>
      <c r="M21" s="6">
        <f ca="1">OFFSET(Volume!M21,14-ROW(),ROW()-14)*10^9</f>
        <v>87500000</v>
      </c>
      <c r="N21" s="6"/>
      <c r="O21" s="6"/>
      <c r="P21" s="6"/>
      <c r="Q21" s="6"/>
      <c r="R21" s="6"/>
      <c r="S21" s="6"/>
      <c r="T21" s="6"/>
      <c r="U21" s="6"/>
      <c r="V21" s="6">
        <f ca="1">OFFSET(Volume!V21,23-ROW(),ROW()-23)*10^9</f>
        <v>13500000</v>
      </c>
      <c r="W21" s="6"/>
    </row>
    <row r="22" spans="1:23" ht="16" customHeight="1">
      <c r="A22" s="3" t="s">
        <v>20</v>
      </c>
      <c r="B22" s="6"/>
      <c r="C22" s="6">
        <f ca="1">OFFSET(Volume!C22,4-ROW(),ROW()-4)*10^9</f>
        <v>126000000</v>
      </c>
      <c r="D22" s="6">
        <f ca="1">OFFSET(Volume!D22,5-ROW(),ROW()-5)*10^9</f>
        <v>550000000</v>
      </c>
      <c r="E22" s="6">
        <f ca="1">OFFSET(Volume!E22,6-ROW(),ROW()-6)*10^9</f>
        <v>1440000000</v>
      </c>
      <c r="F22" s="6">
        <f ca="1">OFFSET(Volume!F22,7-ROW(),ROW()-7)*10^9</f>
        <v>75000000</v>
      </c>
      <c r="G22" s="6"/>
      <c r="H22" s="6">
        <f ca="1">OFFSET(Volume!H22,9-ROW(),ROW()-9)*10^9</f>
        <v>144000000</v>
      </c>
      <c r="I22" s="6"/>
      <c r="J22" s="6">
        <f ca="1">OFFSET(Volume!J22,11-ROW(),ROW()-11)*10^9</f>
        <v>13500000</v>
      </c>
      <c r="K22" s="6"/>
      <c r="L22" s="6"/>
      <c r="M22" s="6">
        <f ca="1">OFFSET(Volume!M22,14-ROW(),ROW()-14)*10^9</f>
        <v>75000000</v>
      </c>
      <c r="N22" s="6"/>
      <c r="O22" s="6"/>
      <c r="P22" s="6"/>
      <c r="Q22" s="6"/>
      <c r="R22" s="6"/>
      <c r="S22" s="6"/>
      <c r="T22" s="6"/>
      <c r="U22" s="6"/>
      <c r="V22" s="6">
        <f ca="1">OFFSET(Volume!V22,23-ROW(),ROW()-23)*10^9</f>
        <v>13500000</v>
      </c>
      <c r="W22" s="6"/>
    </row>
    <row r="23" spans="1:23" ht="16" customHeight="1">
      <c r="A23" s="3" t="s">
        <v>21</v>
      </c>
      <c r="B23" s="6"/>
      <c r="C23" s="6">
        <f ca="1">OFFSET(Volume!C23,4-ROW(),ROW()-4)*10^9</f>
        <v>75000000</v>
      </c>
      <c r="D23" s="6">
        <f ca="1">OFFSET(Volume!D23,5-ROW(),ROW()-5)*10^9</f>
        <v>526499999.99999994</v>
      </c>
      <c r="E23" s="6">
        <f ca="1">OFFSET(Volume!E23,6-ROW(),ROW()-6)*10^9</f>
        <v>1296000000</v>
      </c>
      <c r="F23" s="6">
        <f ca="1">OFFSET(Volume!F23,7-ROW(),ROW()-7)*10^9</f>
        <v>75000000</v>
      </c>
      <c r="G23" s="6"/>
      <c r="H23" s="6">
        <f ca="1">OFFSET(Volume!H23,9-ROW(),ROW()-9)*10^9</f>
        <v>144000000</v>
      </c>
      <c r="I23" s="6"/>
      <c r="J23" s="6">
        <f ca="1">OFFSET(Volume!J23,11-ROW(),ROW()-11)*10^9</f>
        <v>13500000</v>
      </c>
      <c r="K23" s="6"/>
      <c r="L23" s="6"/>
      <c r="M23" s="6">
        <f ca="1">OFFSET(Volume!M23,14-ROW(),ROW()-14)*10^9</f>
        <v>62500000</v>
      </c>
      <c r="N23" s="6"/>
      <c r="O23" s="6"/>
      <c r="P23" s="6"/>
      <c r="Q23" s="6"/>
      <c r="R23" s="6"/>
      <c r="S23" s="6"/>
      <c r="T23" s="6"/>
      <c r="U23" s="6"/>
      <c r="V23" s="6">
        <f ca="1">OFFSET(Volume!V23,23-ROW(),ROW()-23)*10^9</f>
        <v>6000000</v>
      </c>
      <c r="W23" s="6"/>
    </row>
    <row r="24" spans="1:23" ht="16" customHeight="1">
      <c r="A24" s="3" t="s">
        <v>22</v>
      </c>
      <c r="B24" s="6"/>
      <c r="C24" s="6">
        <f ca="1">OFFSET(Volume!C24,4-ROW(),ROW()-4)*10^9</f>
        <v>32000000</v>
      </c>
      <c r="D24" s="6">
        <f ca="1">OFFSET(Volume!D24,5-ROW(),ROW()-5)*10^9</f>
        <v>500000000</v>
      </c>
      <c r="E24" s="6">
        <f ca="1">OFFSET(Volume!E24,6-ROW(),ROW()-6)*10^9</f>
        <v>1224000000</v>
      </c>
      <c r="F24" s="6"/>
      <c r="G24" s="6"/>
      <c r="H24" s="6">
        <f ca="1">OFFSET(Volume!H24,9-ROW(),ROW()-9)*10^9</f>
        <v>144000000</v>
      </c>
      <c r="I24" s="6"/>
      <c r="J24" s="6">
        <f ca="1">OFFSET(Volume!J24,11-ROW(),ROW()-11)*10^9</f>
        <v>13500000</v>
      </c>
      <c r="K24" s="6"/>
      <c r="L24" s="6"/>
      <c r="M24" s="6">
        <f ca="1">OFFSET(Volume!M24,14-ROW(),ROW()-14)*10^9</f>
        <v>62500000</v>
      </c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1:23" ht="16" customHeight="1">
      <c r="A25" s="3" t="s">
        <v>23</v>
      </c>
      <c r="B25" s="6"/>
      <c r="C25" s="6">
        <f ca="1">OFFSET(Volume!C25,4-ROW(),ROW()-4)*10^9</f>
        <v>32000000</v>
      </c>
      <c r="D25" s="6">
        <f ca="1">OFFSET(Volume!D25,5-ROW(),ROW()-5)*10^9</f>
        <v>416000000</v>
      </c>
      <c r="E25" s="6">
        <f ca="1">OFFSET(Volume!E25,6-ROW(),ROW()-6)*10^9</f>
        <v>931500000</v>
      </c>
      <c r="F25" s="6"/>
      <c r="G25" s="6"/>
      <c r="H25" s="6">
        <f ca="1">OFFSET(Volume!H25,9-ROW(),ROW()-9)*10^9</f>
        <v>75000000</v>
      </c>
      <c r="I25" s="6"/>
      <c r="J25" s="6">
        <f ca="1">OFFSET(Volume!J25,11-ROW(),ROW()-11)*10^9</f>
        <v>13500000</v>
      </c>
      <c r="K25" s="6"/>
      <c r="L25" s="6"/>
      <c r="M25" s="6">
        <f ca="1">OFFSET(Volume!M25,14-ROW(),ROW()-14)*10^9</f>
        <v>62500000</v>
      </c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1:23" ht="16" customHeight="1">
      <c r="A26" s="3" t="s">
        <v>24</v>
      </c>
      <c r="B26" s="6"/>
      <c r="C26" s="6">
        <f ca="1">OFFSET(Volume!C26,4-ROW(),ROW()-4)*10^9</f>
        <v>32000000</v>
      </c>
      <c r="D26" s="6">
        <f ca="1">OFFSET(Volume!D26,5-ROW(),ROW()-5)*10^9</f>
        <v>405000000</v>
      </c>
      <c r="E26" s="6">
        <f ca="1">OFFSET(Volume!E26,6-ROW(),ROW()-6)*10^9</f>
        <v>726000000</v>
      </c>
      <c r="F26" s="6"/>
      <c r="G26" s="6"/>
      <c r="H26" s="6">
        <f ca="1">OFFSET(Volume!H26,9-ROW(),ROW()-9)*10^9</f>
        <v>40000000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spans="1:23" ht="16" customHeight="1">
      <c r="A27" s="3" t="s">
        <v>25</v>
      </c>
      <c r="B27" s="6"/>
      <c r="C27" s="6">
        <f ca="1">OFFSET(Volume!C27,4-ROW(),ROW()-4)*10^9</f>
        <v>18000000</v>
      </c>
      <c r="D27" s="6">
        <f ca="1">OFFSET(Volume!D27,5-ROW(),ROW()-5)*10^9</f>
        <v>288000000</v>
      </c>
      <c r="E27" s="6">
        <f ca="1">OFFSET(Volume!E27,6-ROW(),ROW()-6)*10^9</f>
        <v>700000000</v>
      </c>
      <c r="F27" s="6"/>
      <c r="G27" s="6"/>
      <c r="H27" s="6">
        <f ca="1">OFFSET(Volume!H27,9-ROW(),ROW()-9)*10^9</f>
        <v>32000000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spans="1:23" ht="16" customHeight="1">
      <c r="A28" s="3" t="s">
        <v>26</v>
      </c>
      <c r="B28" s="6"/>
      <c r="C28" s="6"/>
      <c r="D28" s="6">
        <f ca="1">OFFSET(Volume!D28,5-ROW(),ROW()-5)*10^9</f>
        <v>288000000</v>
      </c>
      <c r="E28" s="6">
        <f ca="1">OFFSET(Volume!E28,6-ROW(),ROW()-6)*10^9</f>
        <v>352000000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spans="1:23" ht="16" customHeight="1">
      <c r="A29" s="3" t="s">
        <v>27</v>
      </c>
      <c r="B29" s="6"/>
      <c r="C29" s="6"/>
      <c r="D29" s="6"/>
      <c r="E29" s="6">
        <f ca="1">OFFSET(Volume!E29,6-ROW(),ROW()-6)*10^9</f>
        <v>352000000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spans="1:23" ht="16" customHeight="1">
      <c r="A30" s="3" t="s">
        <v>28</v>
      </c>
      <c r="B30" s="6"/>
      <c r="C30" s="6"/>
      <c r="D30" s="6"/>
      <c r="E30" s="6">
        <f ca="1">OFFSET(Volume!E30,6-ROW(),ROW()-6)*10^9</f>
        <v>288000000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spans="1:23" ht="16" customHeight="1">
      <c r="A31" s="3" t="s">
        <v>29</v>
      </c>
      <c r="B31" s="6"/>
      <c r="C31" s="6"/>
      <c r="D31" s="6"/>
      <c r="E31" s="6">
        <f ca="1">OFFSET(Volume!E31,6-ROW(),ROW()-6)*10^9</f>
        <v>256000000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spans="1:23" ht="16" customHeight="1">
      <c r="A32" s="3" t="s">
        <v>30</v>
      </c>
      <c r="B32" s="6"/>
      <c r="C32" s="6"/>
      <c r="D32" s="6"/>
      <c r="E32" s="6">
        <f ca="1">OFFSET(Volume!E32,6-ROW(),ROW()-6)*10^9</f>
        <v>196000000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pans="1:23" ht="16" customHeight="1">
      <c r="A33" s="3" t="s">
        <v>31</v>
      </c>
      <c r="B33" s="7">
        <f t="shared" ref="B33:W33" ca="1" si="0">SUM(B3:B32)</f>
        <v>255059500000</v>
      </c>
      <c r="C33" s="7">
        <f t="shared" ca="1" si="0"/>
        <v>230942500000</v>
      </c>
      <c r="D33" s="7">
        <f t="shared" ca="1" si="0"/>
        <v>173625000000</v>
      </c>
      <c r="E33" s="7">
        <f t="shared" ca="1" si="0"/>
        <v>144490500000</v>
      </c>
      <c r="F33" s="7">
        <f t="shared" ca="1" si="0"/>
        <v>104656000000</v>
      </c>
      <c r="G33" s="7">
        <f t="shared" ca="1" si="0"/>
        <v>98073000000</v>
      </c>
      <c r="H33" s="7">
        <f t="shared" ca="1" si="0"/>
        <v>90813000000</v>
      </c>
      <c r="I33" s="7">
        <f t="shared" ca="1" si="0"/>
        <v>73611000000</v>
      </c>
      <c r="J33" s="7">
        <f t="shared" ca="1" si="0"/>
        <v>63840500000</v>
      </c>
      <c r="K33" s="7">
        <f t="shared" ca="1" si="0"/>
        <v>55155500000</v>
      </c>
      <c r="L33" s="7">
        <f t="shared" ca="1" si="0"/>
        <v>53705000000</v>
      </c>
      <c r="M33" s="7">
        <f t="shared" ca="1" si="0"/>
        <v>48444500000</v>
      </c>
      <c r="N33" s="7">
        <f t="shared" ca="1" si="0"/>
        <v>41052500000</v>
      </c>
      <c r="O33" s="7">
        <f t="shared" ca="1" si="0"/>
        <v>40529500000</v>
      </c>
      <c r="P33" s="7">
        <f t="shared" ca="1" si="0"/>
        <v>34088500000</v>
      </c>
      <c r="Q33" s="7">
        <f t="shared" ca="1" si="0"/>
        <v>21941000000</v>
      </c>
      <c r="R33" s="7">
        <f t="shared" ca="1" si="0"/>
        <v>20824500000</v>
      </c>
      <c r="S33" s="7">
        <f t="shared" ca="1" si="0"/>
        <v>20080000000</v>
      </c>
      <c r="T33" s="7">
        <f t="shared" ca="1" si="0"/>
        <v>17911000000</v>
      </c>
      <c r="U33" s="7">
        <f t="shared" ca="1" si="0"/>
        <v>1290000000</v>
      </c>
      <c r="V33" s="7">
        <f t="shared" ca="1" si="0"/>
        <v>1320500000</v>
      </c>
      <c r="W33" s="7">
        <f t="shared" ca="1" si="0"/>
        <v>847000000</v>
      </c>
    </row>
  </sheetData>
  <mergeCells count="1">
    <mergeCell ref="A1:G1"/>
  </mergeCells>
  <pageMargins left="0.4" right="0.4" top="0.75" bottom="0.75" header="0.3" footer="0.3"/>
  <pageSetup paperSize="9" orientation="portrait"/>
  <headerFooter>
    <oddFooter>&amp;C&amp;P / &amp;N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8"/>
  <sheetViews>
    <sheetView workbookViewId="0">
      <selection activeCell="I28" sqref="I28"/>
    </sheetView>
  </sheetViews>
  <sheetFormatPr baseColWidth="10" defaultColWidth="14.5" defaultRowHeight="12" x14ac:dyDescent="0"/>
  <cols>
    <col min="1" max="2" width="14.5" style="2"/>
    <col min="3" max="4" width="13.6640625" style="11" customWidth="1"/>
    <col min="5" max="5" width="12.83203125" style="11" customWidth="1"/>
    <col min="6" max="7" width="11.5" style="12" customWidth="1"/>
    <col min="8" max="16384" width="14.5" style="2"/>
  </cols>
  <sheetData>
    <row r="1" spans="1:10">
      <c r="A1" s="9" t="s">
        <v>448</v>
      </c>
      <c r="B1" s="9" t="s">
        <v>424</v>
      </c>
      <c r="C1" s="10"/>
      <c r="D1" s="10"/>
    </row>
    <row r="2" spans="1:10">
      <c r="A2" s="13" t="s">
        <v>34</v>
      </c>
      <c r="B2" s="14">
        <v>41033</v>
      </c>
      <c r="C2" s="44" t="s">
        <v>413</v>
      </c>
      <c r="D2" s="44"/>
      <c r="E2" s="44" t="s">
        <v>32</v>
      </c>
      <c r="F2" s="15" t="s">
        <v>421</v>
      </c>
      <c r="G2" s="15" t="s">
        <v>421</v>
      </c>
    </row>
    <row r="3" spans="1:10" ht="15" customHeight="1">
      <c r="A3" s="47" t="s">
        <v>33</v>
      </c>
      <c r="B3" s="47"/>
      <c r="C3" s="16" t="s">
        <v>414</v>
      </c>
      <c r="D3" s="16" t="s">
        <v>415</v>
      </c>
      <c r="E3" s="44"/>
      <c r="F3" s="17" t="s">
        <v>423</v>
      </c>
      <c r="G3" s="17" t="s">
        <v>422</v>
      </c>
      <c r="H3" s="18"/>
      <c r="I3" s="18"/>
      <c r="J3" s="18"/>
    </row>
    <row r="4" spans="1:10">
      <c r="A4" s="48" t="s">
        <v>312</v>
      </c>
      <c r="B4" s="48"/>
      <c r="C4" s="19">
        <v>8.6</v>
      </c>
      <c r="D4" s="19">
        <v>7.2</v>
      </c>
      <c r="E4" s="20" t="s">
        <v>313</v>
      </c>
      <c r="F4" s="21">
        <f t="shared" ref="F4:F21" si="0">C4*D4*D4/2</f>
        <v>222.91200000000001</v>
      </c>
      <c r="G4" s="22">
        <f>F4*10^9</f>
        <v>222912000000</v>
      </c>
      <c r="H4" s="23"/>
    </row>
    <row r="5" spans="1:10">
      <c r="A5" s="48" t="s">
        <v>314</v>
      </c>
      <c r="B5" s="48"/>
      <c r="C5" s="19">
        <v>2.8</v>
      </c>
      <c r="D5" s="19">
        <v>2.2000000000000002</v>
      </c>
      <c r="E5" s="24">
        <v>0.27638888888888885</v>
      </c>
      <c r="F5" s="21">
        <f t="shared" si="0"/>
        <v>6.7760000000000007</v>
      </c>
      <c r="G5" s="22">
        <f t="shared" ref="G5:G22" si="1">F5*10^9</f>
        <v>6776000000.000001</v>
      </c>
      <c r="H5" s="23"/>
    </row>
    <row r="6" spans="1:10">
      <c r="A6" s="48" t="s">
        <v>315</v>
      </c>
      <c r="B6" s="48"/>
      <c r="C6" s="19">
        <v>1</v>
      </c>
      <c r="D6" s="19">
        <v>0.8</v>
      </c>
      <c r="E6" s="24">
        <v>0.27638888888888885</v>
      </c>
      <c r="F6" s="21">
        <f t="shared" si="0"/>
        <v>0.32000000000000006</v>
      </c>
      <c r="G6" s="22">
        <f t="shared" si="1"/>
        <v>320000000.00000006</v>
      </c>
      <c r="H6" s="23"/>
    </row>
    <row r="7" spans="1:10">
      <c r="A7" s="48" t="s">
        <v>316</v>
      </c>
      <c r="B7" s="48"/>
      <c r="C7" s="19">
        <v>0.9</v>
      </c>
      <c r="D7" s="19">
        <v>0.7</v>
      </c>
      <c r="E7" s="24">
        <v>0.28125</v>
      </c>
      <c r="F7" s="21">
        <f t="shared" si="0"/>
        <v>0.22049999999999997</v>
      </c>
      <c r="G7" s="22">
        <f t="shared" si="1"/>
        <v>220499999.99999997</v>
      </c>
      <c r="H7" s="23"/>
    </row>
    <row r="8" spans="1:10">
      <c r="A8" s="48" t="s">
        <v>317</v>
      </c>
      <c r="B8" s="48"/>
      <c r="C8" s="19">
        <v>1.9</v>
      </c>
      <c r="D8" s="19">
        <v>1.4</v>
      </c>
      <c r="E8" s="25" t="s">
        <v>318</v>
      </c>
      <c r="F8" s="21">
        <f t="shared" si="0"/>
        <v>1.8619999999999997</v>
      </c>
      <c r="G8" s="22">
        <f t="shared" si="1"/>
        <v>1861999999.9999998</v>
      </c>
      <c r="H8" s="23"/>
    </row>
    <row r="9" spans="1:10">
      <c r="A9" s="48" t="s">
        <v>319</v>
      </c>
      <c r="B9" s="48"/>
      <c r="C9" s="19">
        <v>1.2</v>
      </c>
      <c r="D9" s="19">
        <v>0.8</v>
      </c>
      <c r="E9" s="20" t="s">
        <v>320</v>
      </c>
      <c r="F9" s="21">
        <f t="shared" si="0"/>
        <v>0.38400000000000001</v>
      </c>
      <c r="G9" s="22">
        <f t="shared" si="1"/>
        <v>384000000</v>
      </c>
      <c r="H9" s="23"/>
    </row>
    <row r="10" spans="1:10">
      <c r="A10" s="48" t="s">
        <v>321</v>
      </c>
      <c r="B10" s="48"/>
      <c r="C10" s="19">
        <v>1.7</v>
      </c>
      <c r="D10" s="19">
        <v>1.2</v>
      </c>
      <c r="E10" s="20" t="s">
        <v>322</v>
      </c>
      <c r="F10" s="21">
        <f t="shared" si="0"/>
        <v>1.224</v>
      </c>
      <c r="G10" s="22">
        <f t="shared" si="1"/>
        <v>1224000000</v>
      </c>
      <c r="H10" s="23"/>
    </row>
    <row r="11" spans="1:10">
      <c r="A11" s="48" t="s">
        <v>323</v>
      </c>
      <c r="B11" s="48"/>
      <c r="C11" s="19">
        <v>1.1000000000000001</v>
      </c>
      <c r="D11" s="19">
        <v>1</v>
      </c>
      <c r="E11" s="24">
        <v>0.2590277777777778</v>
      </c>
      <c r="F11" s="21">
        <f t="shared" si="0"/>
        <v>0.55000000000000004</v>
      </c>
      <c r="G11" s="22">
        <f t="shared" si="1"/>
        <v>550000000</v>
      </c>
      <c r="H11" s="23"/>
    </row>
    <row r="12" spans="1:10">
      <c r="A12" s="48" t="s">
        <v>324</v>
      </c>
      <c r="B12" s="48"/>
      <c r="C12" s="19">
        <v>0.5</v>
      </c>
      <c r="D12" s="19">
        <v>0.5</v>
      </c>
      <c r="E12" s="20" t="s">
        <v>325</v>
      </c>
      <c r="F12" s="21">
        <f t="shared" si="0"/>
        <v>6.25E-2</v>
      </c>
      <c r="G12" s="22">
        <f t="shared" si="1"/>
        <v>62500000</v>
      </c>
      <c r="H12" s="23"/>
    </row>
    <row r="13" spans="1:10">
      <c r="A13" s="48" t="s">
        <v>283</v>
      </c>
      <c r="B13" s="48"/>
      <c r="C13" s="19">
        <v>0.8</v>
      </c>
      <c r="D13" s="19">
        <v>0.7</v>
      </c>
      <c r="E13" s="20" t="s">
        <v>115</v>
      </c>
      <c r="F13" s="21">
        <f t="shared" si="0"/>
        <v>0.19599999999999998</v>
      </c>
      <c r="G13" s="22">
        <f t="shared" si="1"/>
        <v>195999999.99999997</v>
      </c>
      <c r="H13" s="23"/>
    </row>
    <row r="14" spans="1:10">
      <c r="A14" s="48" t="s">
        <v>326</v>
      </c>
      <c r="B14" s="45"/>
      <c r="C14" s="19">
        <v>0.9</v>
      </c>
      <c r="D14" s="19">
        <v>0.7</v>
      </c>
      <c r="E14" s="20" t="s">
        <v>115</v>
      </c>
      <c r="F14" s="21">
        <f t="shared" si="0"/>
        <v>0.22049999999999997</v>
      </c>
      <c r="G14" s="22">
        <f t="shared" si="1"/>
        <v>220499999.99999997</v>
      </c>
      <c r="H14" s="23"/>
    </row>
    <row r="15" spans="1:10">
      <c r="A15" s="48" t="s">
        <v>327</v>
      </c>
      <c r="B15" s="45"/>
      <c r="C15" s="19">
        <v>0.9</v>
      </c>
      <c r="D15" s="19">
        <v>0.7</v>
      </c>
      <c r="E15" s="20" t="s">
        <v>115</v>
      </c>
      <c r="F15" s="21">
        <f t="shared" si="0"/>
        <v>0.22049999999999997</v>
      </c>
      <c r="G15" s="22">
        <f t="shared" si="1"/>
        <v>220499999.99999997</v>
      </c>
      <c r="H15" s="23"/>
    </row>
    <row r="16" spans="1:10">
      <c r="A16" s="48" t="s">
        <v>285</v>
      </c>
      <c r="B16" s="48"/>
      <c r="C16" s="19">
        <v>1.5</v>
      </c>
      <c r="D16" s="19">
        <v>1</v>
      </c>
      <c r="E16" s="20" t="s">
        <v>328</v>
      </c>
      <c r="F16" s="21">
        <f t="shared" si="0"/>
        <v>0.75</v>
      </c>
      <c r="G16" s="22">
        <f t="shared" si="1"/>
        <v>750000000</v>
      </c>
      <c r="H16" s="23"/>
    </row>
    <row r="17" spans="1:10">
      <c r="A17" s="48" t="s">
        <v>285</v>
      </c>
      <c r="B17" s="48"/>
      <c r="C17" s="19">
        <v>1.2</v>
      </c>
      <c r="D17" s="19">
        <v>0.9</v>
      </c>
      <c r="E17" s="20" t="s">
        <v>329</v>
      </c>
      <c r="F17" s="21">
        <f t="shared" si="0"/>
        <v>0.48600000000000004</v>
      </c>
      <c r="G17" s="22">
        <f t="shared" si="1"/>
        <v>486000000.00000006</v>
      </c>
      <c r="H17" s="23"/>
    </row>
    <row r="18" spans="1:10">
      <c r="A18" s="48" t="s">
        <v>330</v>
      </c>
      <c r="B18" s="45"/>
      <c r="C18" s="19">
        <v>3.3</v>
      </c>
      <c r="D18" s="19">
        <v>2.9</v>
      </c>
      <c r="E18" s="20" t="s">
        <v>331</v>
      </c>
      <c r="F18" s="21">
        <f t="shared" si="0"/>
        <v>13.876499999999998</v>
      </c>
      <c r="G18" s="22">
        <f t="shared" si="1"/>
        <v>13876499999.999998</v>
      </c>
      <c r="H18" s="23"/>
    </row>
    <row r="19" spans="1:10">
      <c r="A19" s="48" t="s">
        <v>332</v>
      </c>
      <c r="B19" s="45"/>
      <c r="C19" s="19">
        <v>1</v>
      </c>
      <c r="D19" s="19">
        <v>0.9</v>
      </c>
      <c r="E19" s="20" t="s">
        <v>333</v>
      </c>
      <c r="F19" s="21">
        <f t="shared" si="0"/>
        <v>0.40500000000000003</v>
      </c>
      <c r="G19" s="22">
        <f t="shared" si="1"/>
        <v>405000000</v>
      </c>
      <c r="H19" s="23"/>
    </row>
    <row r="20" spans="1:10">
      <c r="A20" s="48" t="s">
        <v>107</v>
      </c>
      <c r="B20" s="45"/>
      <c r="C20" s="19">
        <v>1.7</v>
      </c>
      <c r="D20" s="19">
        <v>0.8</v>
      </c>
      <c r="E20" s="20" t="s">
        <v>334</v>
      </c>
      <c r="F20" s="21">
        <f t="shared" si="0"/>
        <v>0.54400000000000004</v>
      </c>
      <c r="G20" s="22">
        <f t="shared" si="1"/>
        <v>544000000</v>
      </c>
      <c r="H20" s="23"/>
    </row>
    <row r="21" spans="1:10">
      <c r="A21" s="48" t="s">
        <v>335</v>
      </c>
      <c r="B21" s="45"/>
      <c r="C21" s="19">
        <v>3.6</v>
      </c>
      <c r="D21" s="19">
        <v>1.5</v>
      </c>
      <c r="E21" s="20" t="s">
        <v>336</v>
      </c>
      <c r="F21" s="21">
        <f t="shared" si="0"/>
        <v>4.0500000000000007</v>
      </c>
      <c r="G21" s="22">
        <f t="shared" si="1"/>
        <v>4050000000.0000005</v>
      </c>
      <c r="H21" s="23"/>
    </row>
    <row r="22" spans="1:10">
      <c r="A22" s="46" t="s">
        <v>417</v>
      </c>
      <c r="B22" s="46"/>
      <c r="C22" s="16"/>
      <c r="D22" s="16"/>
      <c r="E22" s="16"/>
      <c r="F22" s="26">
        <f>SUM(F4:F21)</f>
        <v>255.05949999999996</v>
      </c>
      <c r="G22" s="27">
        <f t="shared" si="1"/>
        <v>255059499999.99997</v>
      </c>
    </row>
    <row r="24" spans="1:10">
      <c r="A24" s="9" t="s">
        <v>448</v>
      </c>
      <c r="B24" s="9" t="s">
        <v>425</v>
      </c>
      <c r="C24" s="10"/>
      <c r="D24" s="10"/>
    </row>
    <row r="25" spans="1:10">
      <c r="A25" s="13" t="s">
        <v>34</v>
      </c>
      <c r="B25" s="14">
        <v>40529</v>
      </c>
      <c r="C25" s="44" t="s">
        <v>413</v>
      </c>
      <c r="D25" s="44"/>
      <c r="E25" s="44" t="s">
        <v>32</v>
      </c>
      <c r="F25" s="15" t="s">
        <v>421</v>
      </c>
      <c r="G25" s="15" t="s">
        <v>421</v>
      </c>
    </row>
    <row r="26" spans="1:10" ht="15" customHeight="1">
      <c r="A26" s="47" t="s">
        <v>33</v>
      </c>
      <c r="B26" s="47"/>
      <c r="C26" s="16" t="s">
        <v>414</v>
      </c>
      <c r="D26" s="16" t="s">
        <v>415</v>
      </c>
      <c r="E26" s="44"/>
      <c r="F26" s="17" t="s">
        <v>423</v>
      </c>
      <c r="G26" s="17" t="s">
        <v>422</v>
      </c>
      <c r="H26" s="18"/>
      <c r="I26" s="18"/>
      <c r="J26" s="18"/>
    </row>
    <row r="27" spans="1:10">
      <c r="A27" s="48" t="s">
        <v>114</v>
      </c>
      <c r="B27" s="48"/>
      <c r="C27" s="19">
        <v>0.7</v>
      </c>
      <c r="D27" s="19">
        <v>0.6</v>
      </c>
      <c r="E27" s="20" t="s">
        <v>115</v>
      </c>
      <c r="F27" s="21">
        <f t="shared" ref="F27:F51" si="2">C27*D27*D27/2</f>
        <v>0.126</v>
      </c>
      <c r="G27" s="22">
        <f>F27*10^9</f>
        <v>126000000</v>
      </c>
      <c r="H27" s="23"/>
    </row>
    <row r="28" spans="1:10">
      <c r="A28" s="48" t="s">
        <v>116</v>
      </c>
      <c r="B28" s="48"/>
      <c r="C28" s="19">
        <v>0.6</v>
      </c>
      <c r="D28" s="19">
        <v>0.5</v>
      </c>
      <c r="E28" s="20" t="s">
        <v>117</v>
      </c>
      <c r="F28" s="21">
        <f t="shared" si="2"/>
        <v>7.4999999999999997E-2</v>
      </c>
      <c r="G28" s="22">
        <f t="shared" ref="G28:G52" si="3">F28*10^9</f>
        <v>75000000</v>
      </c>
      <c r="H28" s="23"/>
    </row>
    <row r="29" spans="1:10">
      <c r="A29" s="48" t="s">
        <v>118</v>
      </c>
      <c r="B29" s="48"/>
      <c r="C29" s="19">
        <v>0.4</v>
      </c>
      <c r="D29" s="19">
        <v>0.4</v>
      </c>
      <c r="E29" s="20" t="s">
        <v>117</v>
      </c>
      <c r="F29" s="21">
        <f t="shared" si="2"/>
        <v>3.2000000000000008E-2</v>
      </c>
      <c r="G29" s="22">
        <f t="shared" si="3"/>
        <v>32000000.000000007</v>
      </c>
      <c r="H29" s="23"/>
    </row>
    <row r="30" spans="1:10">
      <c r="A30" s="48" t="s">
        <v>114</v>
      </c>
      <c r="B30" s="48"/>
      <c r="C30" s="19">
        <v>0.4</v>
      </c>
      <c r="D30" s="19">
        <v>0.4</v>
      </c>
      <c r="E30" s="20" t="s">
        <v>119</v>
      </c>
      <c r="F30" s="21">
        <f t="shared" si="2"/>
        <v>3.2000000000000008E-2</v>
      </c>
      <c r="G30" s="22">
        <f t="shared" si="3"/>
        <v>32000000.000000007</v>
      </c>
      <c r="H30" s="23"/>
    </row>
    <row r="31" spans="1:10">
      <c r="A31" s="48" t="s">
        <v>114</v>
      </c>
      <c r="B31" s="48"/>
      <c r="C31" s="19">
        <v>0.4</v>
      </c>
      <c r="D31" s="19">
        <v>0.4</v>
      </c>
      <c r="E31" s="20" t="s">
        <v>120</v>
      </c>
      <c r="F31" s="21">
        <f t="shared" si="2"/>
        <v>3.2000000000000008E-2</v>
      </c>
      <c r="G31" s="22">
        <f t="shared" si="3"/>
        <v>32000000.000000007</v>
      </c>
      <c r="H31" s="23"/>
    </row>
    <row r="32" spans="1:10">
      <c r="A32" s="48" t="s">
        <v>121</v>
      </c>
      <c r="B32" s="48"/>
      <c r="C32" s="19">
        <v>0.9</v>
      </c>
      <c r="D32" s="19">
        <v>0.8</v>
      </c>
      <c r="E32" s="20" t="s">
        <v>122</v>
      </c>
      <c r="F32" s="21">
        <f t="shared" si="2"/>
        <v>0.28800000000000003</v>
      </c>
      <c r="G32" s="22">
        <f t="shared" si="3"/>
        <v>288000000.00000006</v>
      </c>
      <c r="H32" s="23"/>
    </row>
    <row r="33" spans="1:8">
      <c r="A33" s="48" t="s">
        <v>121</v>
      </c>
      <c r="B33" s="48"/>
      <c r="C33" s="19">
        <v>0.7</v>
      </c>
      <c r="D33" s="19">
        <v>0.6</v>
      </c>
      <c r="E33" s="20" t="s">
        <v>123</v>
      </c>
      <c r="F33" s="21">
        <f t="shared" si="2"/>
        <v>0.126</v>
      </c>
      <c r="G33" s="22">
        <f t="shared" si="3"/>
        <v>126000000</v>
      </c>
      <c r="H33" s="23"/>
    </row>
    <row r="34" spans="1:8">
      <c r="A34" s="48" t="s">
        <v>121</v>
      </c>
      <c r="B34" s="48"/>
      <c r="C34" s="19">
        <v>0.4</v>
      </c>
      <c r="D34" s="19">
        <v>0.3</v>
      </c>
      <c r="E34" s="20" t="s">
        <v>124</v>
      </c>
      <c r="F34" s="21">
        <f t="shared" si="2"/>
        <v>1.7999999999999999E-2</v>
      </c>
      <c r="G34" s="22">
        <f t="shared" si="3"/>
        <v>18000000</v>
      </c>
      <c r="H34" s="23"/>
    </row>
    <row r="35" spans="1:8">
      <c r="A35" s="48" t="s">
        <v>125</v>
      </c>
      <c r="B35" s="48"/>
      <c r="C35" s="19">
        <v>0.7</v>
      </c>
      <c r="D35" s="19">
        <v>0.7</v>
      </c>
      <c r="E35" s="20" t="s">
        <v>126</v>
      </c>
      <c r="F35" s="21">
        <f t="shared" si="2"/>
        <v>0.17149999999999996</v>
      </c>
      <c r="G35" s="22">
        <f t="shared" si="3"/>
        <v>171499999.99999997</v>
      </c>
      <c r="H35" s="23"/>
    </row>
    <row r="36" spans="1:8">
      <c r="A36" s="48" t="s">
        <v>127</v>
      </c>
      <c r="B36" s="48"/>
      <c r="C36" s="19">
        <v>1.7</v>
      </c>
      <c r="D36" s="19">
        <v>1.4</v>
      </c>
      <c r="E36" s="20" t="s">
        <v>128</v>
      </c>
      <c r="F36" s="21">
        <f t="shared" si="2"/>
        <v>1.6659999999999999</v>
      </c>
      <c r="G36" s="22">
        <f t="shared" si="3"/>
        <v>1666000000</v>
      </c>
      <c r="H36" s="23"/>
    </row>
    <row r="37" spans="1:8">
      <c r="A37" s="48" t="s">
        <v>129</v>
      </c>
      <c r="B37" s="45"/>
      <c r="C37" s="19">
        <v>2.7</v>
      </c>
      <c r="D37" s="19">
        <v>2.2000000000000002</v>
      </c>
      <c r="E37" s="20" t="s">
        <v>130</v>
      </c>
      <c r="F37" s="21">
        <f t="shared" si="2"/>
        <v>6.5340000000000016</v>
      </c>
      <c r="G37" s="22">
        <f t="shared" si="3"/>
        <v>6534000000.0000019</v>
      </c>
      <c r="H37" s="23"/>
    </row>
    <row r="38" spans="1:8">
      <c r="A38" s="48" t="s">
        <v>131</v>
      </c>
      <c r="B38" s="45"/>
      <c r="C38" s="19">
        <v>3.1</v>
      </c>
      <c r="D38" s="19">
        <v>2.2000000000000002</v>
      </c>
      <c r="E38" s="20" t="s">
        <v>132</v>
      </c>
      <c r="F38" s="21">
        <f t="shared" si="2"/>
        <v>7.5020000000000016</v>
      </c>
      <c r="G38" s="22">
        <f t="shared" si="3"/>
        <v>7502000000.0000019</v>
      </c>
      <c r="H38" s="23"/>
    </row>
    <row r="39" spans="1:8">
      <c r="A39" s="48" t="s">
        <v>133</v>
      </c>
      <c r="B39" s="48"/>
      <c r="C39" s="19">
        <v>2</v>
      </c>
      <c r="D39" s="19">
        <v>1.9</v>
      </c>
      <c r="E39" s="20" t="s">
        <v>134</v>
      </c>
      <c r="F39" s="21">
        <f t="shared" si="2"/>
        <v>3.61</v>
      </c>
      <c r="G39" s="22">
        <f t="shared" si="3"/>
        <v>3610000000</v>
      </c>
      <c r="H39" s="23"/>
    </row>
    <row r="40" spans="1:8">
      <c r="A40" s="48" t="s">
        <v>131</v>
      </c>
      <c r="B40" s="48"/>
      <c r="C40" s="19">
        <v>2.2000000000000002</v>
      </c>
      <c r="D40" s="19">
        <v>1.8</v>
      </c>
      <c r="E40" s="20" t="s">
        <v>135</v>
      </c>
      <c r="F40" s="21">
        <f t="shared" si="2"/>
        <v>3.5640000000000005</v>
      </c>
      <c r="G40" s="22">
        <f t="shared" si="3"/>
        <v>3564000000.0000005</v>
      </c>
      <c r="H40" s="23"/>
    </row>
    <row r="41" spans="1:8">
      <c r="A41" s="48" t="s">
        <v>136</v>
      </c>
      <c r="B41" s="45"/>
      <c r="C41" s="19">
        <v>7.9</v>
      </c>
      <c r="D41" s="19">
        <v>5.9</v>
      </c>
      <c r="E41" s="20" t="s">
        <v>137</v>
      </c>
      <c r="F41" s="21">
        <f t="shared" si="2"/>
        <v>137.49950000000004</v>
      </c>
      <c r="G41" s="22">
        <f t="shared" si="3"/>
        <v>137499500000.00003</v>
      </c>
      <c r="H41" s="23"/>
    </row>
    <row r="42" spans="1:8">
      <c r="A42" s="48" t="s">
        <v>138</v>
      </c>
      <c r="B42" s="45"/>
      <c r="C42" s="19">
        <v>1.7</v>
      </c>
      <c r="D42" s="19">
        <v>1.5</v>
      </c>
      <c r="E42" s="20" t="s">
        <v>139</v>
      </c>
      <c r="F42" s="21">
        <f t="shared" si="2"/>
        <v>1.9124999999999999</v>
      </c>
      <c r="G42" s="22">
        <f t="shared" si="3"/>
        <v>1912499999.9999998</v>
      </c>
      <c r="H42" s="23"/>
    </row>
    <row r="43" spans="1:8">
      <c r="A43" s="48" t="s">
        <v>138</v>
      </c>
      <c r="B43" s="45"/>
      <c r="C43" s="19">
        <v>1.4</v>
      </c>
      <c r="D43" s="19">
        <v>1.2</v>
      </c>
      <c r="E43" s="20" t="s">
        <v>140</v>
      </c>
      <c r="F43" s="21">
        <f t="shared" si="2"/>
        <v>1.008</v>
      </c>
      <c r="G43" s="22">
        <f t="shared" si="3"/>
        <v>1008000000</v>
      </c>
      <c r="H43" s="23"/>
    </row>
    <row r="44" spans="1:8">
      <c r="A44" s="48" t="s">
        <v>138</v>
      </c>
      <c r="B44" s="45"/>
      <c r="C44" s="19">
        <v>4.2</v>
      </c>
      <c r="D44" s="19">
        <v>3.3</v>
      </c>
      <c r="E44" s="20" t="s">
        <v>141</v>
      </c>
      <c r="F44" s="21">
        <f t="shared" si="2"/>
        <v>22.868999999999996</v>
      </c>
      <c r="G44" s="22">
        <f t="shared" si="3"/>
        <v>22868999999.999996</v>
      </c>
      <c r="H44" s="23"/>
    </row>
    <row r="45" spans="1:8">
      <c r="A45" s="48" t="s">
        <v>142</v>
      </c>
      <c r="B45" s="45"/>
      <c r="C45" s="19">
        <v>1.7</v>
      </c>
      <c r="D45" s="19">
        <v>1.7</v>
      </c>
      <c r="E45" s="20" t="s">
        <v>143</v>
      </c>
      <c r="F45" s="21">
        <f t="shared" si="2"/>
        <v>2.4564999999999997</v>
      </c>
      <c r="G45" s="22">
        <f t="shared" si="3"/>
        <v>2456499999.9999995</v>
      </c>
      <c r="H45" s="23"/>
    </row>
    <row r="46" spans="1:8">
      <c r="A46" s="48" t="s">
        <v>138</v>
      </c>
      <c r="B46" s="48"/>
      <c r="C46" s="19">
        <v>3.1</v>
      </c>
      <c r="D46" s="19">
        <v>2.5</v>
      </c>
      <c r="E46" s="20" t="s">
        <v>144</v>
      </c>
      <c r="F46" s="21">
        <f t="shared" si="2"/>
        <v>9.6875</v>
      </c>
      <c r="G46" s="22">
        <f t="shared" si="3"/>
        <v>9687500000</v>
      </c>
      <c r="H46" s="23"/>
    </row>
    <row r="47" spans="1:8">
      <c r="A47" s="48" t="s">
        <v>145</v>
      </c>
      <c r="B47" s="48"/>
      <c r="C47" s="19">
        <v>3</v>
      </c>
      <c r="D47" s="19">
        <v>2.8</v>
      </c>
      <c r="E47" s="20" t="s">
        <v>146</v>
      </c>
      <c r="F47" s="21">
        <f t="shared" si="2"/>
        <v>11.759999999999998</v>
      </c>
      <c r="G47" s="22">
        <f t="shared" si="3"/>
        <v>11759999999.999998</v>
      </c>
      <c r="H47" s="23"/>
    </row>
    <row r="48" spans="1:8">
      <c r="A48" s="48" t="s">
        <v>147</v>
      </c>
      <c r="B48" s="48"/>
      <c r="C48" s="19">
        <v>2.1</v>
      </c>
      <c r="D48" s="19">
        <v>1.7</v>
      </c>
      <c r="E48" s="20" t="s">
        <v>148</v>
      </c>
      <c r="F48" s="21">
        <f t="shared" si="2"/>
        <v>3.0345</v>
      </c>
      <c r="G48" s="22">
        <f t="shared" si="3"/>
        <v>3034500000</v>
      </c>
      <c r="H48" s="23"/>
    </row>
    <row r="49" spans="1:10">
      <c r="A49" s="48" t="s">
        <v>149</v>
      </c>
      <c r="B49" s="48"/>
      <c r="C49" s="19">
        <v>1.1000000000000001</v>
      </c>
      <c r="D49" s="19">
        <v>0.7</v>
      </c>
      <c r="E49" s="20" t="s">
        <v>150</v>
      </c>
      <c r="F49" s="21">
        <f t="shared" si="2"/>
        <v>0.26949999999999996</v>
      </c>
      <c r="G49" s="22">
        <f t="shared" si="3"/>
        <v>269499999.99999994</v>
      </c>
      <c r="H49" s="23"/>
    </row>
    <row r="50" spans="1:10">
      <c r="A50" s="48" t="s">
        <v>149</v>
      </c>
      <c r="B50" s="48"/>
      <c r="C50" s="19">
        <v>2.6</v>
      </c>
      <c r="D50" s="19">
        <v>2.2999999999999998</v>
      </c>
      <c r="E50" s="20" t="s">
        <v>151</v>
      </c>
      <c r="F50" s="21">
        <f t="shared" si="2"/>
        <v>6.8769999999999989</v>
      </c>
      <c r="G50" s="22">
        <f t="shared" si="3"/>
        <v>6876999999.999999</v>
      </c>
      <c r="H50" s="23"/>
    </row>
    <row r="51" spans="1:10">
      <c r="A51" s="48" t="s">
        <v>149</v>
      </c>
      <c r="B51" s="48"/>
      <c r="C51" s="19">
        <v>3.4</v>
      </c>
      <c r="D51" s="19">
        <v>2.4</v>
      </c>
      <c r="E51" s="20" t="s">
        <v>152</v>
      </c>
      <c r="F51" s="21">
        <f t="shared" si="2"/>
        <v>9.7919999999999998</v>
      </c>
      <c r="G51" s="22">
        <f t="shared" si="3"/>
        <v>9792000000</v>
      </c>
      <c r="H51" s="23"/>
    </row>
    <row r="52" spans="1:10">
      <c r="A52" s="46" t="s">
        <v>417</v>
      </c>
      <c r="B52" s="46"/>
      <c r="C52" s="16"/>
      <c r="D52" s="16"/>
      <c r="E52" s="16"/>
      <c r="F52" s="26">
        <f>SUM(F27:F51)</f>
        <v>230.94250000000005</v>
      </c>
      <c r="G52" s="27">
        <f t="shared" si="3"/>
        <v>230942500000.00006</v>
      </c>
    </row>
    <row r="54" spans="1:10">
      <c r="A54" s="9" t="s">
        <v>448</v>
      </c>
      <c r="B54" s="9" t="s">
        <v>426</v>
      </c>
      <c r="C54" s="10"/>
      <c r="D54" s="10"/>
    </row>
    <row r="55" spans="1:10">
      <c r="A55" s="13" t="s">
        <v>34</v>
      </c>
      <c r="B55" s="14">
        <v>40794</v>
      </c>
      <c r="C55" s="44" t="s">
        <v>413</v>
      </c>
      <c r="D55" s="44"/>
      <c r="E55" s="44" t="s">
        <v>32</v>
      </c>
      <c r="F55" s="15" t="s">
        <v>421</v>
      </c>
      <c r="G55" s="15" t="s">
        <v>421</v>
      </c>
    </row>
    <row r="56" spans="1:10" ht="15" customHeight="1">
      <c r="A56" s="47" t="s">
        <v>33</v>
      </c>
      <c r="B56" s="47"/>
      <c r="C56" s="16" t="s">
        <v>414</v>
      </c>
      <c r="D56" s="16" t="s">
        <v>415</v>
      </c>
      <c r="E56" s="44"/>
      <c r="F56" s="17" t="s">
        <v>423</v>
      </c>
      <c r="G56" s="17" t="s">
        <v>422</v>
      </c>
      <c r="H56" s="18"/>
      <c r="I56" s="18"/>
      <c r="J56" s="18"/>
    </row>
    <row r="57" spans="1:10">
      <c r="A57" s="48" t="s">
        <v>74</v>
      </c>
      <c r="B57" s="48"/>
      <c r="C57" s="19">
        <v>0.9</v>
      </c>
      <c r="D57" s="19">
        <v>0.8</v>
      </c>
      <c r="E57" s="24" t="s">
        <v>75</v>
      </c>
      <c r="F57" s="21">
        <f t="shared" ref="F57:F82" si="4">C57*D57*D57/2</f>
        <v>0.28800000000000003</v>
      </c>
      <c r="G57" s="22">
        <f>F57*10^9</f>
        <v>288000000.00000006</v>
      </c>
      <c r="H57" s="23"/>
    </row>
    <row r="58" spans="1:10">
      <c r="A58" s="48" t="s">
        <v>74</v>
      </c>
      <c r="B58" s="48"/>
      <c r="C58" s="19">
        <v>2.9</v>
      </c>
      <c r="D58" s="19">
        <v>2.6</v>
      </c>
      <c r="E58" s="24" t="s">
        <v>76</v>
      </c>
      <c r="F58" s="21">
        <f t="shared" si="4"/>
        <v>9.8019999999999996</v>
      </c>
      <c r="G58" s="22">
        <f t="shared" ref="G58:G83" si="5">F58*10^9</f>
        <v>9802000000</v>
      </c>
      <c r="H58" s="23"/>
    </row>
    <row r="59" spans="1:10">
      <c r="A59" s="48" t="s">
        <v>74</v>
      </c>
      <c r="B59" s="48"/>
      <c r="C59" s="19">
        <v>1.7</v>
      </c>
      <c r="D59" s="19">
        <v>1.7</v>
      </c>
      <c r="E59" s="24" t="s">
        <v>77</v>
      </c>
      <c r="F59" s="21">
        <f t="shared" si="4"/>
        <v>2.4564999999999997</v>
      </c>
      <c r="G59" s="22">
        <f t="shared" si="5"/>
        <v>2456499999.9999995</v>
      </c>
      <c r="H59" s="23"/>
    </row>
    <row r="60" spans="1:10">
      <c r="A60" s="48" t="s">
        <v>74</v>
      </c>
      <c r="B60" s="48"/>
      <c r="C60" s="19">
        <v>1.5</v>
      </c>
      <c r="D60" s="19">
        <v>1.4</v>
      </c>
      <c r="E60" s="20" t="s">
        <v>78</v>
      </c>
      <c r="F60" s="21">
        <f t="shared" si="4"/>
        <v>1.4699999999999998</v>
      </c>
      <c r="G60" s="22">
        <f t="shared" si="5"/>
        <v>1469999999.9999998</v>
      </c>
      <c r="H60" s="23"/>
    </row>
    <row r="61" spans="1:10">
      <c r="A61" s="48" t="s">
        <v>74</v>
      </c>
      <c r="B61" s="48"/>
      <c r="C61" s="19">
        <v>2.7</v>
      </c>
      <c r="D61" s="19">
        <v>2.2999999999999998</v>
      </c>
      <c r="E61" s="20" t="s">
        <v>79</v>
      </c>
      <c r="F61" s="21">
        <f t="shared" si="4"/>
        <v>7.1414999999999997</v>
      </c>
      <c r="G61" s="22">
        <f t="shared" si="5"/>
        <v>7141500000</v>
      </c>
      <c r="H61" s="23"/>
    </row>
    <row r="62" spans="1:10">
      <c r="A62" s="48" t="s">
        <v>74</v>
      </c>
      <c r="B62" s="48"/>
      <c r="C62" s="19">
        <v>1.4</v>
      </c>
      <c r="D62" s="19">
        <v>1</v>
      </c>
      <c r="E62" s="20" t="s">
        <v>80</v>
      </c>
      <c r="F62" s="21">
        <f t="shared" si="4"/>
        <v>0.7</v>
      </c>
      <c r="G62" s="22">
        <f t="shared" si="5"/>
        <v>700000000</v>
      </c>
      <c r="H62" s="23"/>
    </row>
    <row r="63" spans="1:10">
      <c r="A63" s="48" t="s">
        <v>74</v>
      </c>
      <c r="B63" s="48"/>
      <c r="C63" s="19">
        <v>1.1000000000000001</v>
      </c>
      <c r="D63" s="19">
        <v>1</v>
      </c>
      <c r="E63" s="20" t="s">
        <v>80</v>
      </c>
      <c r="F63" s="21">
        <f t="shared" si="4"/>
        <v>0.55000000000000004</v>
      </c>
      <c r="G63" s="22">
        <f t="shared" si="5"/>
        <v>550000000</v>
      </c>
      <c r="H63" s="23"/>
    </row>
    <row r="64" spans="1:10">
      <c r="A64" s="48" t="s">
        <v>74</v>
      </c>
      <c r="B64" s="48"/>
      <c r="C64" s="19">
        <v>1.3</v>
      </c>
      <c r="D64" s="19">
        <v>1.2</v>
      </c>
      <c r="E64" s="20" t="s">
        <v>81</v>
      </c>
      <c r="F64" s="21">
        <f t="shared" si="4"/>
        <v>0.93599999999999994</v>
      </c>
      <c r="G64" s="22">
        <f t="shared" si="5"/>
        <v>936000000</v>
      </c>
      <c r="H64" s="23"/>
    </row>
    <row r="65" spans="1:8">
      <c r="A65" s="48" t="s">
        <v>82</v>
      </c>
      <c r="B65" s="48"/>
      <c r="C65" s="19">
        <v>2.4</v>
      </c>
      <c r="D65" s="19">
        <v>1.6</v>
      </c>
      <c r="E65" s="20" t="s">
        <v>83</v>
      </c>
      <c r="F65" s="21">
        <f t="shared" si="4"/>
        <v>3.0720000000000001</v>
      </c>
      <c r="G65" s="22">
        <f t="shared" si="5"/>
        <v>3072000000</v>
      </c>
      <c r="H65" s="23"/>
    </row>
    <row r="66" spans="1:8">
      <c r="A66" s="48" t="s">
        <v>84</v>
      </c>
      <c r="B66" s="48"/>
      <c r="C66" s="19">
        <v>1.7</v>
      </c>
      <c r="D66" s="19">
        <v>1.5</v>
      </c>
      <c r="E66" s="20" t="s">
        <v>85</v>
      </c>
      <c r="F66" s="21">
        <f t="shared" si="4"/>
        <v>1.9124999999999999</v>
      </c>
      <c r="G66" s="22">
        <f t="shared" si="5"/>
        <v>1912499999.9999998</v>
      </c>
      <c r="H66" s="23"/>
    </row>
    <row r="67" spans="1:8">
      <c r="A67" s="48" t="s">
        <v>82</v>
      </c>
      <c r="B67" s="45"/>
      <c r="C67" s="19">
        <v>4.5</v>
      </c>
      <c r="D67" s="19">
        <v>3.7</v>
      </c>
      <c r="E67" s="20" t="s">
        <v>85</v>
      </c>
      <c r="F67" s="21">
        <f t="shared" si="4"/>
        <v>30.802500000000006</v>
      </c>
      <c r="G67" s="22">
        <f t="shared" si="5"/>
        <v>30802500000.000004</v>
      </c>
      <c r="H67" s="23"/>
    </row>
    <row r="68" spans="1:8">
      <c r="A68" s="48" t="s">
        <v>84</v>
      </c>
      <c r="B68" s="45"/>
      <c r="C68" s="19">
        <v>4</v>
      </c>
      <c r="D68" s="19">
        <v>3.2</v>
      </c>
      <c r="E68" s="20" t="s">
        <v>86</v>
      </c>
      <c r="F68" s="21">
        <f t="shared" si="4"/>
        <v>20.480000000000004</v>
      </c>
      <c r="G68" s="22">
        <f t="shared" si="5"/>
        <v>20480000000.000004</v>
      </c>
      <c r="H68" s="23"/>
    </row>
    <row r="69" spans="1:8">
      <c r="A69" s="48" t="s">
        <v>87</v>
      </c>
      <c r="B69" s="48"/>
      <c r="C69" s="19">
        <v>4.2</v>
      </c>
      <c r="D69" s="19">
        <v>2.9</v>
      </c>
      <c r="E69" s="20" t="s">
        <v>88</v>
      </c>
      <c r="F69" s="21">
        <f t="shared" si="4"/>
        <v>17.660999999999998</v>
      </c>
      <c r="G69" s="22">
        <f t="shared" si="5"/>
        <v>17660999999.999996</v>
      </c>
      <c r="H69" s="23"/>
    </row>
    <row r="70" spans="1:8">
      <c r="A70" s="48" t="s">
        <v>89</v>
      </c>
      <c r="B70" s="48"/>
      <c r="C70" s="19">
        <v>5.5</v>
      </c>
      <c r="D70" s="19">
        <v>4.0999999999999996</v>
      </c>
      <c r="E70" s="20" t="s">
        <v>90</v>
      </c>
      <c r="F70" s="21">
        <f t="shared" si="4"/>
        <v>46.227499999999992</v>
      </c>
      <c r="G70" s="22">
        <f t="shared" si="5"/>
        <v>46227499999.999992</v>
      </c>
      <c r="H70" s="23"/>
    </row>
    <row r="71" spans="1:8">
      <c r="A71" s="48" t="s">
        <v>89</v>
      </c>
      <c r="B71" s="45"/>
      <c r="C71" s="19">
        <v>1.3</v>
      </c>
      <c r="D71" s="19">
        <v>0.9</v>
      </c>
      <c r="E71" s="20" t="s">
        <v>91</v>
      </c>
      <c r="F71" s="21">
        <f t="shared" si="4"/>
        <v>0.52650000000000008</v>
      </c>
      <c r="G71" s="22">
        <f t="shared" si="5"/>
        <v>526500000.00000006</v>
      </c>
      <c r="H71" s="23"/>
    </row>
    <row r="72" spans="1:8">
      <c r="A72" s="48" t="s">
        <v>89</v>
      </c>
      <c r="B72" s="45"/>
      <c r="C72" s="19">
        <v>2.9</v>
      </c>
      <c r="D72" s="19">
        <v>1.6</v>
      </c>
      <c r="E72" s="20" t="s">
        <v>92</v>
      </c>
      <c r="F72" s="21">
        <f t="shared" si="4"/>
        <v>3.7119999999999997</v>
      </c>
      <c r="G72" s="22">
        <f t="shared" si="5"/>
        <v>3711999999.9999995</v>
      </c>
      <c r="H72" s="23"/>
    </row>
    <row r="73" spans="1:8">
      <c r="A73" s="48" t="s">
        <v>93</v>
      </c>
      <c r="B73" s="45"/>
      <c r="C73" s="19">
        <v>2</v>
      </c>
      <c r="D73" s="19">
        <v>1.7</v>
      </c>
      <c r="E73" s="20" t="s">
        <v>94</v>
      </c>
      <c r="F73" s="21">
        <f t="shared" si="4"/>
        <v>2.8899999999999997</v>
      </c>
      <c r="G73" s="22">
        <f t="shared" si="5"/>
        <v>2889999999.9999995</v>
      </c>
      <c r="H73" s="23"/>
    </row>
    <row r="74" spans="1:8">
      <c r="A74" s="48" t="s">
        <v>93</v>
      </c>
      <c r="B74" s="45"/>
      <c r="C74" s="19">
        <v>1</v>
      </c>
      <c r="D74" s="19">
        <v>0.9</v>
      </c>
      <c r="E74" s="20" t="s">
        <v>94</v>
      </c>
      <c r="F74" s="21">
        <f t="shared" si="4"/>
        <v>0.40500000000000003</v>
      </c>
      <c r="G74" s="22">
        <f t="shared" si="5"/>
        <v>405000000</v>
      </c>
      <c r="H74" s="23"/>
    </row>
    <row r="75" spans="1:8">
      <c r="A75" s="48" t="s">
        <v>93</v>
      </c>
      <c r="B75" s="45"/>
      <c r="C75" s="19">
        <v>1.3</v>
      </c>
      <c r="D75" s="19">
        <v>1.1000000000000001</v>
      </c>
      <c r="E75" s="20" t="s">
        <v>95</v>
      </c>
      <c r="F75" s="21">
        <f t="shared" si="4"/>
        <v>0.7865000000000002</v>
      </c>
      <c r="G75" s="22">
        <f t="shared" si="5"/>
        <v>786500000.00000024</v>
      </c>
      <c r="H75" s="23"/>
    </row>
    <row r="76" spans="1:8">
      <c r="A76" s="48" t="s">
        <v>93</v>
      </c>
      <c r="B76" s="45"/>
      <c r="C76" s="19">
        <v>4</v>
      </c>
      <c r="D76" s="19">
        <v>3</v>
      </c>
      <c r="E76" s="20" t="s">
        <v>90</v>
      </c>
      <c r="F76" s="21">
        <f t="shared" si="4"/>
        <v>18</v>
      </c>
      <c r="G76" s="22">
        <f t="shared" si="5"/>
        <v>18000000000</v>
      </c>
      <c r="H76" s="23"/>
    </row>
    <row r="77" spans="1:8">
      <c r="A77" s="48" t="s">
        <v>93</v>
      </c>
      <c r="B77" s="45"/>
      <c r="C77" s="19">
        <v>1.3</v>
      </c>
      <c r="D77" s="19">
        <v>1.1000000000000001</v>
      </c>
      <c r="E77" s="20" t="s">
        <v>96</v>
      </c>
      <c r="F77" s="21">
        <f t="shared" si="4"/>
        <v>0.7865000000000002</v>
      </c>
      <c r="G77" s="22">
        <f t="shared" si="5"/>
        <v>786500000.00000024</v>
      </c>
      <c r="H77" s="23"/>
    </row>
    <row r="78" spans="1:8">
      <c r="A78" s="48" t="s">
        <v>93</v>
      </c>
      <c r="B78" s="45"/>
      <c r="C78" s="19">
        <v>1</v>
      </c>
      <c r="D78" s="19">
        <v>1</v>
      </c>
      <c r="E78" s="20" t="s">
        <v>97</v>
      </c>
      <c r="F78" s="21">
        <f t="shared" si="4"/>
        <v>0.5</v>
      </c>
      <c r="G78" s="22">
        <f t="shared" si="5"/>
        <v>500000000</v>
      </c>
      <c r="H78" s="23"/>
    </row>
    <row r="79" spans="1:8">
      <c r="A79" s="48" t="s">
        <v>93</v>
      </c>
      <c r="B79" s="45"/>
      <c r="C79" s="19">
        <v>1.7</v>
      </c>
      <c r="D79" s="19">
        <v>1.1000000000000001</v>
      </c>
      <c r="E79" s="20" t="s">
        <v>98</v>
      </c>
      <c r="F79" s="21">
        <f t="shared" si="4"/>
        <v>1.0285000000000002</v>
      </c>
      <c r="G79" s="22">
        <f t="shared" si="5"/>
        <v>1028500000.0000002</v>
      </c>
      <c r="H79" s="23"/>
    </row>
    <row r="80" spans="1:8">
      <c r="A80" s="48" t="s">
        <v>99</v>
      </c>
      <c r="B80" s="48"/>
      <c r="C80" s="19">
        <v>1.3</v>
      </c>
      <c r="D80" s="19">
        <v>1.1000000000000001</v>
      </c>
      <c r="E80" s="20" t="s">
        <v>100</v>
      </c>
      <c r="F80" s="21">
        <f t="shared" si="4"/>
        <v>0.7865000000000002</v>
      </c>
      <c r="G80" s="22">
        <f t="shared" si="5"/>
        <v>786500000.00000024</v>
      </c>
      <c r="H80" s="23"/>
    </row>
    <row r="81" spans="1:10">
      <c r="A81" s="48" t="s">
        <v>101</v>
      </c>
      <c r="B81" s="48"/>
      <c r="C81" s="19">
        <v>0.9</v>
      </c>
      <c r="D81" s="19">
        <v>0.8</v>
      </c>
      <c r="E81" s="20" t="s">
        <v>102</v>
      </c>
      <c r="F81" s="21">
        <f t="shared" si="4"/>
        <v>0.28800000000000003</v>
      </c>
      <c r="G81" s="22">
        <f t="shared" si="5"/>
        <v>288000000.00000006</v>
      </c>
      <c r="H81" s="23"/>
    </row>
    <row r="82" spans="1:10">
      <c r="A82" s="48" t="s">
        <v>103</v>
      </c>
      <c r="B82" s="48"/>
      <c r="C82" s="19">
        <v>1.3</v>
      </c>
      <c r="D82" s="19">
        <v>0.8</v>
      </c>
      <c r="E82" s="20" t="s">
        <v>104</v>
      </c>
      <c r="F82" s="21">
        <f t="shared" si="4"/>
        <v>0.41600000000000004</v>
      </c>
      <c r="G82" s="22">
        <f t="shared" si="5"/>
        <v>416000000.00000006</v>
      </c>
      <c r="H82" s="23"/>
    </row>
    <row r="83" spans="1:10">
      <c r="A83" s="46" t="s">
        <v>417</v>
      </c>
      <c r="B83" s="46"/>
      <c r="C83" s="16"/>
      <c r="D83" s="16"/>
      <c r="E83" s="16"/>
      <c r="F83" s="26">
        <f>SUM(F57:F82)</f>
        <v>173.62499999999997</v>
      </c>
      <c r="G83" s="27">
        <f t="shared" si="5"/>
        <v>173624999999.99997</v>
      </c>
    </row>
    <row r="85" spans="1:10">
      <c r="A85" s="9" t="s">
        <v>448</v>
      </c>
      <c r="B85" s="9" t="s">
        <v>427</v>
      </c>
      <c r="C85" s="10"/>
      <c r="D85" s="10"/>
    </row>
    <row r="86" spans="1:10">
      <c r="A86" s="13" t="s">
        <v>34</v>
      </c>
      <c r="B86" s="14">
        <v>40757</v>
      </c>
      <c r="C86" s="44" t="s">
        <v>413</v>
      </c>
      <c r="D86" s="44"/>
      <c r="E86" s="44" t="s">
        <v>32</v>
      </c>
      <c r="F86" s="15" t="s">
        <v>421</v>
      </c>
      <c r="G86" s="15" t="s">
        <v>421</v>
      </c>
    </row>
    <row r="87" spans="1:10" ht="15" customHeight="1">
      <c r="A87" s="47" t="s">
        <v>33</v>
      </c>
      <c r="B87" s="47"/>
      <c r="C87" s="16" t="s">
        <v>414</v>
      </c>
      <c r="D87" s="16" t="s">
        <v>415</v>
      </c>
      <c r="E87" s="44"/>
      <c r="F87" s="17" t="s">
        <v>423</v>
      </c>
      <c r="G87" s="17" t="s">
        <v>422</v>
      </c>
      <c r="H87" s="18"/>
      <c r="I87" s="18"/>
      <c r="J87" s="18"/>
    </row>
    <row r="88" spans="1:10">
      <c r="A88" s="48" t="s">
        <v>196</v>
      </c>
      <c r="B88" s="48"/>
      <c r="C88" s="19">
        <v>2.2999999999999998</v>
      </c>
      <c r="D88" s="19">
        <v>1.6</v>
      </c>
      <c r="E88" s="20" t="s">
        <v>197</v>
      </c>
      <c r="F88" s="21">
        <f t="shared" ref="F88:F117" si="6">C88*D88*D88/2</f>
        <v>2.944</v>
      </c>
      <c r="G88" s="22">
        <f>F88*10^9</f>
        <v>2944000000</v>
      </c>
      <c r="H88" s="23"/>
    </row>
    <row r="89" spans="1:10">
      <c r="A89" s="48" t="s">
        <v>196</v>
      </c>
      <c r="B89" s="48"/>
      <c r="C89" s="19">
        <v>1.9</v>
      </c>
      <c r="D89" s="19">
        <v>1.5</v>
      </c>
      <c r="E89" s="20" t="s">
        <v>155</v>
      </c>
      <c r="F89" s="21">
        <f t="shared" si="6"/>
        <v>2.1374999999999997</v>
      </c>
      <c r="G89" s="22">
        <f t="shared" ref="G89:G118" si="7">F89*10^9</f>
        <v>2137499999.9999998</v>
      </c>
      <c r="H89" s="23"/>
    </row>
    <row r="90" spans="1:10">
      <c r="A90" s="48" t="s">
        <v>196</v>
      </c>
      <c r="B90" s="48"/>
      <c r="C90" s="19">
        <v>2</v>
      </c>
      <c r="D90" s="19">
        <v>1.3</v>
      </c>
      <c r="E90" s="20" t="s">
        <v>198</v>
      </c>
      <c r="F90" s="21">
        <f t="shared" si="6"/>
        <v>1.6900000000000002</v>
      </c>
      <c r="G90" s="22">
        <f t="shared" si="7"/>
        <v>1690000000.0000002</v>
      </c>
      <c r="H90" s="23"/>
    </row>
    <row r="91" spans="1:10">
      <c r="A91" s="48" t="s">
        <v>196</v>
      </c>
      <c r="B91" s="48"/>
      <c r="C91" s="19">
        <v>0.9</v>
      </c>
      <c r="D91" s="19">
        <v>0.8</v>
      </c>
      <c r="E91" s="20" t="s">
        <v>198</v>
      </c>
      <c r="F91" s="21">
        <f t="shared" si="6"/>
        <v>0.28800000000000003</v>
      </c>
      <c r="G91" s="22">
        <f t="shared" si="7"/>
        <v>288000000.00000006</v>
      </c>
      <c r="H91" s="23"/>
    </row>
    <row r="92" spans="1:10">
      <c r="A92" s="48" t="s">
        <v>196</v>
      </c>
      <c r="B92" s="48"/>
      <c r="C92" s="19">
        <v>1.1000000000000001</v>
      </c>
      <c r="D92" s="19">
        <v>0.8</v>
      </c>
      <c r="E92" s="20" t="s">
        <v>198</v>
      </c>
      <c r="F92" s="21">
        <f t="shared" si="6"/>
        <v>0.35200000000000009</v>
      </c>
      <c r="G92" s="22">
        <f t="shared" si="7"/>
        <v>352000000.00000012</v>
      </c>
      <c r="H92" s="23"/>
    </row>
    <row r="93" spans="1:10">
      <c r="A93" s="48" t="s">
        <v>196</v>
      </c>
      <c r="B93" s="48"/>
      <c r="C93" s="19">
        <v>0.8</v>
      </c>
      <c r="D93" s="19">
        <v>0.7</v>
      </c>
      <c r="E93" s="20" t="s">
        <v>198</v>
      </c>
      <c r="F93" s="21">
        <f t="shared" si="6"/>
        <v>0.19599999999999998</v>
      </c>
      <c r="G93" s="22">
        <f t="shared" si="7"/>
        <v>195999999.99999997</v>
      </c>
      <c r="H93" s="23"/>
    </row>
    <row r="94" spans="1:10">
      <c r="A94" s="48" t="s">
        <v>196</v>
      </c>
      <c r="B94" s="48"/>
      <c r="C94" s="19">
        <v>1.8</v>
      </c>
      <c r="D94" s="19">
        <v>1.6</v>
      </c>
      <c r="E94" s="20" t="s">
        <v>199</v>
      </c>
      <c r="F94" s="21">
        <f t="shared" si="6"/>
        <v>2.3040000000000003</v>
      </c>
      <c r="G94" s="22">
        <f t="shared" si="7"/>
        <v>2304000000.0000005</v>
      </c>
      <c r="H94" s="23"/>
    </row>
    <row r="95" spans="1:10">
      <c r="A95" s="48" t="s">
        <v>196</v>
      </c>
      <c r="B95" s="48"/>
      <c r="C95" s="19">
        <v>3</v>
      </c>
      <c r="D95" s="19">
        <v>1.8</v>
      </c>
      <c r="E95" s="20" t="s">
        <v>200</v>
      </c>
      <c r="F95" s="21">
        <f t="shared" si="6"/>
        <v>4.8600000000000003</v>
      </c>
      <c r="G95" s="22">
        <f t="shared" si="7"/>
        <v>4860000000</v>
      </c>
      <c r="H95" s="23"/>
    </row>
    <row r="96" spans="1:10">
      <c r="A96" s="48" t="s">
        <v>196</v>
      </c>
      <c r="B96" s="48"/>
      <c r="C96" s="19">
        <v>1.8</v>
      </c>
      <c r="D96" s="19">
        <v>1.8</v>
      </c>
      <c r="E96" s="20" t="s">
        <v>201</v>
      </c>
      <c r="F96" s="21">
        <f t="shared" si="6"/>
        <v>2.9160000000000004</v>
      </c>
      <c r="G96" s="22">
        <f t="shared" si="7"/>
        <v>2916000000.0000005</v>
      </c>
      <c r="H96" s="23"/>
    </row>
    <row r="97" spans="1:8">
      <c r="A97" s="48" t="s">
        <v>196</v>
      </c>
      <c r="B97" s="48"/>
      <c r="C97" s="19">
        <v>1.4</v>
      </c>
      <c r="D97" s="19">
        <v>1</v>
      </c>
      <c r="E97" s="20" t="s">
        <v>201</v>
      </c>
      <c r="F97" s="21">
        <f t="shared" si="6"/>
        <v>0.7</v>
      </c>
      <c r="G97" s="22">
        <f t="shared" si="7"/>
        <v>700000000</v>
      </c>
      <c r="H97" s="23"/>
    </row>
    <row r="98" spans="1:8">
      <c r="A98" s="48" t="s">
        <v>196</v>
      </c>
      <c r="B98" s="48"/>
      <c r="C98" s="19">
        <v>1.2</v>
      </c>
      <c r="D98" s="19">
        <v>1.1000000000000001</v>
      </c>
      <c r="E98" s="20" t="s">
        <v>202</v>
      </c>
      <c r="F98" s="21">
        <f t="shared" si="6"/>
        <v>0.72600000000000009</v>
      </c>
      <c r="G98" s="22">
        <f t="shared" si="7"/>
        <v>726000000.00000012</v>
      </c>
      <c r="H98" s="23"/>
    </row>
    <row r="99" spans="1:8">
      <c r="A99" s="48" t="s">
        <v>196</v>
      </c>
      <c r="B99" s="48"/>
      <c r="C99" s="19">
        <v>2</v>
      </c>
      <c r="D99" s="19">
        <v>1.3</v>
      </c>
      <c r="E99" s="20" t="s">
        <v>203</v>
      </c>
      <c r="F99" s="21">
        <f t="shared" si="6"/>
        <v>1.6900000000000002</v>
      </c>
      <c r="G99" s="22">
        <f t="shared" si="7"/>
        <v>1690000000.0000002</v>
      </c>
      <c r="H99" s="23"/>
    </row>
    <row r="100" spans="1:8">
      <c r="A100" s="48" t="s">
        <v>196</v>
      </c>
      <c r="B100" s="48"/>
      <c r="C100" s="19">
        <v>2.2000000000000002</v>
      </c>
      <c r="D100" s="19">
        <v>1.6</v>
      </c>
      <c r="E100" s="20" t="s">
        <v>203</v>
      </c>
      <c r="F100" s="21">
        <f t="shared" si="6"/>
        <v>2.8160000000000007</v>
      </c>
      <c r="G100" s="22">
        <f t="shared" si="7"/>
        <v>2816000000.000001</v>
      </c>
      <c r="H100" s="23"/>
    </row>
    <row r="101" spans="1:8">
      <c r="A101" s="48" t="s">
        <v>196</v>
      </c>
      <c r="B101" s="48"/>
      <c r="C101" s="19">
        <v>2.6</v>
      </c>
      <c r="D101" s="19">
        <v>1.2</v>
      </c>
      <c r="E101" s="20" t="s">
        <v>204</v>
      </c>
      <c r="F101" s="21">
        <f t="shared" si="6"/>
        <v>1.8719999999999999</v>
      </c>
      <c r="G101" s="22">
        <f t="shared" si="7"/>
        <v>1872000000</v>
      </c>
      <c r="H101" s="23"/>
    </row>
    <row r="102" spans="1:8">
      <c r="A102" s="48" t="s">
        <v>196</v>
      </c>
      <c r="B102" s="48"/>
      <c r="C102" s="19">
        <v>1.8</v>
      </c>
      <c r="D102" s="19">
        <v>1.2</v>
      </c>
      <c r="E102" s="20" t="s">
        <v>205</v>
      </c>
      <c r="F102" s="21">
        <f t="shared" si="6"/>
        <v>1.296</v>
      </c>
      <c r="G102" s="22">
        <f t="shared" si="7"/>
        <v>1296000000</v>
      </c>
      <c r="H102" s="23"/>
    </row>
    <row r="103" spans="1:8">
      <c r="A103" s="48" t="s">
        <v>206</v>
      </c>
      <c r="B103" s="50"/>
      <c r="C103" s="19">
        <v>1.7</v>
      </c>
      <c r="D103" s="19">
        <v>1.2</v>
      </c>
      <c r="E103" s="20" t="s">
        <v>207</v>
      </c>
      <c r="F103" s="21">
        <f t="shared" si="6"/>
        <v>1.224</v>
      </c>
      <c r="G103" s="22">
        <f t="shared" si="7"/>
        <v>1224000000</v>
      </c>
      <c r="H103" s="23"/>
    </row>
    <row r="104" spans="1:8">
      <c r="A104" s="48" t="s">
        <v>206</v>
      </c>
      <c r="B104" s="50"/>
      <c r="C104" s="19">
        <v>1.1000000000000001</v>
      </c>
      <c r="D104" s="19">
        <v>0.8</v>
      </c>
      <c r="E104" s="20" t="s">
        <v>208</v>
      </c>
      <c r="F104" s="21">
        <f t="shared" si="6"/>
        <v>0.35200000000000009</v>
      </c>
      <c r="G104" s="22">
        <f t="shared" si="7"/>
        <v>352000000.00000012</v>
      </c>
      <c r="H104" s="23"/>
    </row>
    <row r="105" spans="1:8">
      <c r="A105" s="48" t="s">
        <v>206</v>
      </c>
      <c r="B105" s="50"/>
      <c r="C105" s="19">
        <v>0.8</v>
      </c>
      <c r="D105" s="19">
        <v>0.8</v>
      </c>
      <c r="E105" s="20" t="s">
        <v>209</v>
      </c>
      <c r="F105" s="21">
        <f t="shared" si="6"/>
        <v>0.25600000000000006</v>
      </c>
      <c r="G105" s="22">
        <f t="shared" si="7"/>
        <v>256000000.00000006</v>
      </c>
      <c r="H105" s="23"/>
    </row>
    <row r="106" spans="1:8">
      <c r="A106" s="48" t="s">
        <v>206</v>
      </c>
      <c r="B106" s="50"/>
      <c r="C106" s="19">
        <v>2.7</v>
      </c>
      <c r="D106" s="19">
        <v>1.7</v>
      </c>
      <c r="E106" s="20" t="s">
        <v>210</v>
      </c>
      <c r="F106" s="21">
        <f t="shared" si="6"/>
        <v>3.9015</v>
      </c>
      <c r="G106" s="22">
        <f t="shared" si="7"/>
        <v>3901500000</v>
      </c>
      <c r="H106" s="23"/>
    </row>
    <row r="107" spans="1:8">
      <c r="A107" s="48" t="s">
        <v>206</v>
      </c>
      <c r="B107" s="50"/>
      <c r="C107" s="19">
        <v>4.0999999999999996</v>
      </c>
      <c r="D107" s="19">
        <v>2.2000000000000002</v>
      </c>
      <c r="E107" s="20" t="s">
        <v>210</v>
      </c>
      <c r="F107" s="21">
        <f t="shared" si="6"/>
        <v>9.9220000000000006</v>
      </c>
      <c r="G107" s="22">
        <f t="shared" si="7"/>
        <v>9922000000</v>
      </c>
      <c r="H107" s="23"/>
    </row>
    <row r="108" spans="1:8">
      <c r="A108" s="48" t="s">
        <v>211</v>
      </c>
      <c r="B108" s="48"/>
      <c r="C108" s="19">
        <v>6.9</v>
      </c>
      <c r="D108" s="19">
        <v>3.8</v>
      </c>
      <c r="E108" s="20" t="s">
        <v>212</v>
      </c>
      <c r="F108" s="21">
        <f t="shared" si="6"/>
        <v>49.817999999999998</v>
      </c>
      <c r="G108" s="22">
        <f t="shared" si="7"/>
        <v>49818000000</v>
      </c>
      <c r="H108" s="23"/>
    </row>
    <row r="109" spans="1:8">
      <c r="A109" s="48" t="s">
        <v>211</v>
      </c>
      <c r="B109" s="48"/>
      <c r="C109" s="19">
        <v>4.2</v>
      </c>
      <c r="D109" s="19">
        <v>3.4</v>
      </c>
      <c r="E109" s="20" t="s">
        <v>212</v>
      </c>
      <c r="F109" s="21">
        <f t="shared" si="6"/>
        <v>24.276</v>
      </c>
      <c r="G109" s="22">
        <f t="shared" si="7"/>
        <v>24276000000</v>
      </c>
      <c r="H109" s="23"/>
    </row>
    <row r="110" spans="1:8">
      <c r="A110" s="48" t="s">
        <v>211</v>
      </c>
      <c r="B110" s="48"/>
      <c r="C110" s="19">
        <v>3.1</v>
      </c>
      <c r="D110" s="19">
        <v>2.8</v>
      </c>
      <c r="E110" s="20" t="s">
        <v>213</v>
      </c>
      <c r="F110" s="21">
        <f t="shared" si="6"/>
        <v>12.151999999999999</v>
      </c>
      <c r="G110" s="22">
        <f t="shared" si="7"/>
        <v>12152000000</v>
      </c>
      <c r="H110" s="23"/>
    </row>
    <row r="111" spans="1:8">
      <c r="A111" s="48" t="s">
        <v>214</v>
      </c>
      <c r="B111" s="48"/>
      <c r="C111" s="19">
        <v>1.8</v>
      </c>
      <c r="D111" s="19">
        <v>1.6</v>
      </c>
      <c r="E111" s="20" t="s">
        <v>215</v>
      </c>
      <c r="F111" s="21">
        <f t="shared" si="6"/>
        <v>2.3040000000000003</v>
      </c>
      <c r="G111" s="22">
        <f t="shared" si="7"/>
        <v>2304000000.0000005</v>
      </c>
      <c r="H111" s="23"/>
    </row>
    <row r="112" spans="1:8">
      <c r="A112" s="48" t="s">
        <v>214</v>
      </c>
      <c r="B112" s="48"/>
      <c r="C112" s="19">
        <v>2</v>
      </c>
      <c r="D112" s="19">
        <v>1.6</v>
      </c>
      <c r="E112" s="20" t="s">
        <v>216</v>
      </c>
      <c r="F112" s="21">
        <f t="shared" si="6"/>
        <v>2.5600000000000005</v>
      </c>
      <c r="G112" s="22">
        <f t="shared" si="7"/>
        <v>2560000000.0000005</v>
      </c>
      <c r="H112" s="23"/>
    </row>
    <row r="113" spans="1:10">
      <c r="A113" s="48" t="s">
        <v>214</v>
      </c>
      <c r="B113" s="48"/>
      <c r="C113" s="19">
        <v>2.2000000000000002</v>
      </c>
      <c r="D113" s="19">
        <v>1.8</v>
      </c>
      <c r="E113" s="20" t="s">
        <v>216</v>
      </c>
      <c r="F113" s="21">
        <f t="shared" si="6"/>
        <v>3.5640000000000005</v>
      </c>
      <c r="G113" s="22">
        <f t="shared" si="7"/>
        <v>3564000000.0000005</v>
      </c>
      <c r="H113" s="23"/>
    </row>
    <row r="114" spans="1:10">
      <c r="A114" s="48" t="s">
        <v>214</v>
      </c>
      <c r="B114" s="48"/>
      <c r="C114" s="19">
        <v>2</v>
      </c>
      <c r="D114" s="19">
        <v>1.2</v>
      </c>
      <c r="E114" s="20" t="s">
        <v>217</v>
      </c>
      <c r="F114" s="21">
        <f t="shared" si="6"/>
        <v>1.44</v>
      </c>
      <c r="G114" s="22">
        <f t="shared" si="7"/>
        <v>1440000000</v>
      </c>
      <c r="H114" s="23"/>
    </row>
    <row r="115" spans="1:10">
      <c r="A115" s="48" t="s">
        <v>218</v>
      </c>
      <c r="B115" s="48"/>
      <c r="C115" s="19">
        <v>2.2999999999999998</v>
      </c>
      <c r="D115" s="19">
        <v>0.9</v>
      </c>
      <c r="E115" s="20" t="s">
        <v>219</v>
      </c>
      <c r="F115" s="21">
        <f t="shared" si="6"/>
        <v>0.93149999999999999</v>
      </c>
      <c r="G115" s="22">
        <f t="shared" si="7"/>
        <v>931500000</v>
      </c>
      <c r="H115" s="23"/>
    </row>
    <row r="116" spans="1:10">
      <c r="A116" s="48" t="s">
        <v>218</v>
      </c>
      <c r="B116" s="48"/>
      <c r="C116" s="19">
        <v>2.1</v>
      </c>
      <c r="D116" s="19">
        <v>1.4</v>
      </c>
      <c r="E116" s="20" t="s">
        <v>220</v>
      </c>
      <c r="F116" s="21">
        <f t="shared" si="6"/>
        <v>2.0579999999999998</v>
      </c>
      <c r="G116" s="22">
        <f t="shared" si="7"/>
        <v>2057999999.9999998</v>
      </c>
      <c r="H116" s="23"/>
    </row>
    <row r="117" spans="1:10">
      <c r="A117" s="48" t="s">
        <v>218</v>
      </c>
      <c r="B117" s="48"/>
      <c r="C117" s="19">
        <v>2.2999999999999998</v>
      </c>
      <c r="D117" s="19">
        <v>1.6</v>
      </c>
      <c r="E117" s="20" t="s">
        <v>221</v>
      </c>
      <c r="F117" s="21">
        <f t="shared" si="6"/>
        <v>2.944</v>
      </c>
      <c r="G117" s="22">
        <f t="shared" si="7"/>
        <v>2944000000</v>
      </c>
      <c r="H117" s="23"/>
    </row>
    <row r="118" spans="1:10">
      <c r="A118" s="46" t="s">
        <v>417</v>
      </c>
      <c r="B118" s="46"/>
      <c r="C118" s="16"/>
      <c r="D118" s="16"/>
      <c r="E118" s="16"/>
      <c r="F118" s="26">
        <f>SUM(F88:F117)</f>
        <v>144.49049999999997</v>
      </c>
      <c r="G118" s="27">
        <f t="shared" si="7"/>
        <v>144490499999.99997</v>
      </c>
    </row>
    <row r="120" spans="1:10">
      <c r="A120" s="9" t="s">
        <v>448</v>
      </c>
      <c r="B120" s="9" t="s">
        <v>428</v>
      </c>
      <c r="C120" s="10"/>
      <c r="D120" s="10"/>
    </row>
    <row r="121" spans="1:10">
      <c r="A121" s="13" t="s">
        <v>34</v>
      </c>
      <c r="B121" s="14">
        <v>40714</v>
      </c>
      <c r="C121" s="44" t="s">
        <v>413</v>
      </c>
      <c r="D121" s="44"/>
      <c r="E121" s="44" t="s">
        <v>32</v>
      </c>
      <c r="F121" s="15" t="s">
        <v>421</v>
      </c>
      <c r="G121" s="15" t="s">
        <v>421</v>
      </c>
    </row>
    <row r="122" spans="1:10" ht="15" customHeight="1">
      <c r="A122" s="47" t="s">
        <v>33</v>
      </c>
      <c r="B122" s="47"/>
      <c r="C122" s="16" t="s">
        <v>414</v>
      </c>
      <c r="D122" s="16" t="s">
        <v>415</v>
      </c>
      <c r="E122" s="44"/>
      <c r="F122" s="17" t="s">
        <v>423</v>
      </c>
      <c r="G122" s="17" t="s">
        <v>422</v>
      </c>
      <c r="H122" s="18"/>
      <c r="I122" s="18"/>
      <c r="J122" s="18"/>
    </row>
    <row r="123" spans="1:10">
      <c r="A123" s="48" t="s">
        <v>354</v>
      </c>
      <c r="B123" s="48"/>
      <c r="C123" s="19">
        <v>0.6</v>
      </c>
      <c r="D123" s="19">
        <v>0.5</v>
      </c>
      <c r="E123" s="20" t="s">
        <v>355</v>
      </c>
      <c r="F123" s="21">
        <f t="shared" ref="F123:F143" si="8">C123*D123*D123/2</f>
        <v>7.4999999999999997E-2</v>
      </c>
      <c r="G123" s="22">
        <f>F123*10^9</f>
        <v>75000000</v>
      </c>
      <c r="H123" s="23"/>
    </row>
    <row r="124" spans="1:10">
      <c r="A124" s="48" t="s">
        <v>356</v>
      </c>
      <c r="B124" s="48"/>
      <c r="C124" s="19">
        <v>0.9</v>
      </c>
      <c r="D124" s="19">
        <v>0.7</v>
      </c>
      <c r="E124" s="20" t="s">
        <v>357</v>
      </c>
      <c r="F124" s="21">
        <f t="shared" si="8"/>
        <v>0.22049999999999997</v>
      </c>
      <c r="G124" s="22">
        <f t="shared" ref="G124:G143" si="9">F124*10^9</f>
        <v>220499999.99999997</v>
      </c>
      <c r="H124" s="23"/>
    </row>
    <row r="125" spans="1:10">
      <c r="A125" s="48" t="s">
        <v>356</v>
      </c>
      <c r="B125" s="48"/>
      <c r="C125" s="19">
        <v>0.6</v>
      </c>
      <c r="D125" s="19">
        <v>0.5</v>
      </c>
      <c r="E125" s="20" t="s">
        <v>358</v>
      </c>
      <c r="F125" s="21">
        <f t="shared" si="8"/>
        <v>7.4999999999999997E-2</v>
      </c>
      <c r="G125" s="22">
        <f t="shared" si="9"/>
        <v>75000000</v>
      </c>
      <c r="H125" s="23"/>
    </row>
    <row r="126" spans="1:10">
      <c r="A126" s="48" t="s">
        <v>356</v>
      </c>
      <c r="B126" s="48"/>
      <c r="C126" s="19">
        <v>0.7</v>
      </c>
      <c r="D126" s="19">
        <v>0.7</v>
      </c>
      <c r="E126" s="20" t="s">
        <v>359</v>
      </c>
      <c r="F126" s="21">
        <f t="shared" si="8"/>
        <v>0.17149999999999996</v>
      </c>
      <c r="G126" s="22">
        <f t="shared" si="9"/>
        <v>171499999.99999997</v>
      </c>
      <c r="H126" s="23"/>
    </row>
    <row r="127" spans="1:10">
      <c r="A127" s="48" t="s">
        <v>360</v>
      </c>
      <c r="B127" s="48"/>
      <c r="C127" s="19">
        <v>1.4</v>
      </c>
      <c r="D127" s="19">
        <v>1</v>
      </c>
      <c r="E127" s="20" t="s">
        <v>167</v>
      </c>
      <c r="F127" s="21">
        <f t="shared" si="8"/>
        <v>0.7</v>
      </c>
      <c r="G127" s="22">
        <f t="shared" si="9"/>
        <v>700000000</v>
      </c>
      <c r="H127" s="23"/>
    </row>
    <row r="128" spans="1:10">
      <c r="A128" s="48" t="s">
        <v>360</v>
      </c>
      <c r="B128" s="48"/>
      <c r="C128" s="19">
        <v>2.6</v>
      </c>
      <c r="D128" s="19">
        <v>1.8</v>
      </c>
      <c r="E128" s="20" t="s">
        <v>361</v>
      </c>
      <c r="F128" s="21">
        <f t="shared" si="8"/>
        <v>4.2120000000000006</v>
      </c>
      <c r="G128" s="22">
        <f t="shared" si="9"/>
        <v>4212000000.0000005</v>
      </c>
      <c r="H128" s="23"/>
    </row>
    <row r="129" spans="1:8">
      <c r="A129" s="48" t="s">
        <v>362</v>
      </c>
      <c r="B129" s="48"/>
      <c r="C129" s="19">
        <v>1.8</v>
      </c>
      <c r="D129" s="19">
        <v>0.9</v>
      </c>
      <c r="E129" s="20" t="s">
        <v>363</v>
      </c>
      <c r="F129" s="21">
        <f t="shared" si="8"/>
        <v>0.72900000000000009</v>
      </c>
      <c r="G129" s="22">
        <f t="shared" si="9"/>
        <v>729000000.00000012</v>
      </c>
      <c r="H129" s="23"/>
    </row>
    <row r="130" spans="1:8">
      <c r="A130" s="48" t="s">
        <v>174</v>
      </c>
      <c r="B130" s="48"/>
      <c r="C130" s="19">
        <v>2.4</v>
      </c>
      <c r="D130" s="19">
        <v>2</v>
      </c>
      <c r="E130" s="20" t="s">
        <v>169</v>
      </c>
      <c r="F130" s="21">
        <f t="shared" si="8"/>
        <v>4.8</v>
      </c>
      <c r="G130" s="22">
        <f t="shared" si="9"/>
        <v>4800000000</v>
      </c>
      <c r="H130" s="23"/>
    </row>
    <row r="131" spans="1:8">
      <c r="A131" s="48" t="s">
        <v>174</v>
      </c>
      <c r="B131" s="48"/>
      <c r="C131" s="19">
        <v>1.4</v>
      </c>
      <c r="D131" s="19">
        <v>1.2</v>
      </c>
      <c r="E131" s="20" t="s">
        <v>170</v>
      </c>
      <c r="F131" s="21">
        <f t="shared" si="8"/>
        <v>1.008</v>
      </c>
      <c r="G131" s="22">
        <f t="shared" si="9"/>
        <v>1008000000</v>
      </c>
      <c r="H131" s="23"/>
    </row>
    <row r="132" spans="1:8">
      <c r="A132" s="48" t="s">
        <v>172</v>
      </c>
      <c r="B132" s="48"/>
      <c r="C132" s="19">
        <v>0.8</v>
      </c>
      <c r="D132" s="19">
        <v>0.7</v>
      </c>
      <c r="E132" s="20" t="s">
        <v>364</v>
      </c>
      <c r="F132" s="21">
        <f t="shared" si="8"/>
        <v>0.19599999999999998</v>
      </c>
      <c r="G132" s="22">
        <f t="shared" si="9"/>
        <v>195999999.99999997</v>
      </c>
      <c r="H132" s="23"/>
    </row>
    <row r="133" spans="1:8">
      <c r="A133" s="48" t="s">
        <v>365</v>
      </c>
      <c r="B133" s="45"/>
      <c r="C133" s="19">
        <v>2.2000000000000002</v>
      </c>
      <c r="D133" s="19">
        <v>2.2000000000000002</v>
      </c>
      <c r="E133" s="20" t="s">
        <v>364</v>
      </c>
      <c r="F133" s="21">
        <f t="shared" si="8"/>
        <v>5.3240000000000016</v>
      </c>
      <c r="G133" s="22">
        <f t="shared" si="9"/>
        <v>5324000000.0000019</v>
      </c>
      <c r="H133" s="23"/>
    </row>
    <row r="134" spans="1:8">
      <c r="A134" s="48" t="s">
        <v>366</v>
      </c>
      <c r="B134" s="45"/>
      <c r="C134" s="19">
        <v>2.1</v>
      </c>
      <c r="D134" s="19">
        <v>1.7</v>
      </c>
      <c r="E134" s="20" t="s">
        <v>175</v>
      </c>
      <c r="F134" s="21">
        <f t="shared" si="8"/>
        <v>3.0345</v>
      </c>
      <c r="G134" s="22">
        <f t="shared" si="9"/>
        <v>3034500000</v>
      </c>
      <c r="H134" s="23"/>
    </row>
    <row r="135" spans="1:8">
      <c r="A135" s="48" t="s">
        <v>172</v>
      </c>
      <c r="B135" s="48"/>
      <c r="C135" s="19">
        <v>3</v>
      </c>
      <c r="D135" s="19">
        <v>2.9</v>
      </c>
      <c r="E135" s="20" t="s">
        <v>367</v>
      </c>
      <c r="F135" s="21">
        <f t="shared" si="8"/>
        <v>12.614999999999998</v>
      </c>
      <c r="G135" s="22">
        <f t="shared" si="9"/>
        <v>12614999999.999998</v>
      </c>
      <c r="H135" s="23"/>
    </row>
    <row r="136" spans="1:8">
      <c r="A136" s="48" t="s">
        <v>368</v>
      </c>
      <c r="B136" s="48"/>
      <c r="C136" s="19">
        <v>2.1</v>
      </c>
      <c r="D136" s="19">
        <v>1.6</v>
      </c>
      <c r="E136" s="20" t="s">
        <v>369</v>
      </c>
      <c r="F136" s="21">
        <f t="shared" si="8"/>
        <v>2.6880000000000006</v>
      </c>
      <c r="G136" s="22">
        <f t="shared" si="9"/>
        <v>2688000000.0000005</v>
      </c>
      <c r="H136" s="23"/>
    </row>
    <row r="137" spans="1:8">
      <c r="A137" s="48" t="s">
        <v>368</v>
      </c>
      <c r="B137" s="45"/>
      <c r="C137" s="19">
        <v>5.3</v>
      </c>
      <c r="D137" s="19">
        <v>4.2</v>
      </c>
      <c r="E137" s="20" t="s">
        <v>370</v>
      </c>
      <c r="F137" s="21">
        <f t="shared" si="8"/>
        <v>46.746000000000002</v>
      </c>
      <c r="G137" s="22">
        <f t="shared" si="9"/>
        <v>46746000000</v>
      </c>
      <c r="H137" s="23"/>
    </row>
    <row r="138" spans="1:8">
      <c r="A138" s="48" t="s">
        <v>371</v>
      </c>
      <c r="B138" s="45"/>
      <c r="C138" s="19">
        <v>1.2</v>
      </c>
      <c r="D138" s="19">
        <v>1</v>
      </c>
      <c r="E138" s="20" t="s">
        <v>369</v>
      </c>
      <c r="F138" s="21">
        <f t="shared" si="8"/>
        <v>0.6</v>
      </c>
      <c r="G138" s="22">
        <f t="shared" si="9"/>
        <v>600000000</v>
      </c>
      <c r="H138" s="23"/>
    </row>
    <row r="139" spans="1:8">
      <c r="A139" s="48" t="s">
        <v>372</v>
      </c>
      <c r="B139" s="45"/>
      <c r="C139" s="19">
        <v>1.1000000000000001</v>
      </c>
      <c r="D139" s="19">
        <v>0.9</v>
      </c>
      <c r="E139" s="20" t="s">
        <v>373</v>
      </c>
      <c r="F139" s="21">
        <f t="shared" si="8"/>
        <v>0.44550000000000006</v>
      </c>
      <c r="G139" s="22">
        <f t="shared" si="9"/>
        <v>445500000.00000006</v>
      </c>
      <c r="H139" s="23"/>
    </row>
    <row r="140" spans="1:8">
      <c r="A140" s="48" t="s">
        <v>372</v>
      </c>
      <c r="B140" s="45"/>
      <c r="C140" s="19">
        <v>1.5</v>
      </c>
      <c r="D140" s="19">
        <v>1.3</v>
      </c>
      <c r="E140" s="20" t="s">
        <v>374</v>
      </c>
      <c r="F140" s="21">
        <f t="shared" si="8"/>
        <v>1.2675000000000001</v>
      </c>
      <c r="G140" s="22">
        <f t="shared" si="9"/>
        <v>1267500000</v>
      </c>
      <c r="H140" s="23"/>
    </row>
    <row r="141" spans="1:8">
      <c r="A141" s="48" t="s">
        <v>288</v>
      </c>
      <c r="B141" s="45"/>
      <c r="C141" s="19">
        <v>4.9000000000000004</v>
      </c>
      <c r="D141" s="19">
        <v>2.8</v>
      </c>
      <c r="E141" s="20" t="s">
        <v>375</v>
      </c>
      <c r="F141" s="21">
        <f t="shared" si="8"/>
        <v>19.207999999999998</v>
      </c>
      <c r="G141" s="22">
        <f t="shared" si="9"/>
        <v>19208000000</v>
      </c>
      <c r="H141" s="23"/>
    </row>
    <row r="142" spans="1:8">
      <c r="A142" s="48" t="s">
        <v>376</v>
      </c>
      <c r="B142" s="48"/>
      <c r="C142" s="19">
        <v>1</v>
      </c>
      <c r="D142" s="19">
        <v>0.8</v>
      </c>
      <c r="E142" s="20" t="s">
        <v>377</v>
      </c>
      <c r="F142" s="21">
        <f t="shared" si="8"/>
        <v>0.32000000000000006</v>
      </c>
      <c r="G142" s="22">
        <f t="shared" si="9"/>
        <v>320000000.00000006</v>
      </c>
      <c r="H142" s="23"/>
    </row>
    <row r="143" spans="1:8">
      <c r="A143" s="48" t="s">
        <v>290</v>
      </c>
      <c r="B143" s="48"/>
      <c r="C143" s="19">
        <v>0.9</v>
      </c>
      <c r="D143" s="19">
        <v>0.7</v>
      </c>
      <c r="E143" s="20" t="s">
        <v>378</v>
      </c>
      <c r="F143" s="21">
        <f t="shared" si="8"/>
        <v>0.22049999999999997</v>
      </c>
      <c r="G143" s="22">
        <f t="shared" si="9"/>
        <v>220499999.99999997</v>
      </c>
      <c r="H143" s="23"/>
    </row>
    <row r="144" spans="1:8">
      <c r="A144" s="46" t="s">
        <v>417</v>
      </c>
      <c r="B144" s="46"/>
      <c r="C144" s="16"/>
      <c r="D144" s="16"/>
      <c r="E144" s="16"/>
      <c r="F144" s="26">
        <f>SUM(F123:F143)</f>
        <v>104.65599999999999</v>
      </c>
      <c r="G144" s="27">
        <f>SUM(G123:G143)</f>
        <v>104656000000</v>
      </c>
    </row>
    <row r="146" spans="1:10">
      <c r="A146" s="9" t="s">
        <v>448</v>
      </c>
      <c r="B146" s="9" t="s">
        <v>429</v>
      </c>
      <c r="C146" s="10"/>
      <c r="D146" s="10"/>
    </row>
    <row r="147" spans="1:10">
      <c r="A147" s="13" t="s">
        <v>34</v>
      </c>
      <c r="B147" s="14">
        <v>41129</v>
      </c>
      <c r="C147" s="44" t="s">
        <v>413</v>
      </c>
      <c r="D147" s="44"/>
      <c r="E147" s="44" t="s">
        <v>32</v>
      </c>
      <c r="F147" s="15" t="s">
        <v>421</v>
      </c>
      <c r="G147" s="15" t="s">
        <v>421</v>
      </c>
    </row>
    <row r="148" spans="1:10" ht="15" customHeight="1">
      <c r="A148" s="47" t="s">
        <v>33</v>
      </c>
      <c r="B148" s="47"/>
      <c r="C148" s="16" t="s">
        <v>414</v>
      </c>
      <c r="D148" s="16" t="s">
        <v>415</v>
      </c>
      <c r="E148" s="44"/>
      <c r="F148" s="17" t="s">
        <v>423</v>
      </c>
      <c r="G148" s="17" t="s">
        <v>422</v>
      </c>
      <c r="H148" s="18"/>
      <c r="I148" s="18"/>
      <c r="J148" s="18"/>
    </row>
    <row r="149" spans="1:10">
      <c r="A149" s="48" t="s">
        <v>267</v>
      </c>
      <c r="B149" s="48"/>
      <c r="C149" s="19">
        <v>5.5</v>
      </c>
      <c r="D149" s="19">
        <v>5.3</v>
      </c>
      <c r="E149" s="20" t="s">
        <v>268</v>
      </c>
      <c r="F149" s="21">
        <f t="shared" ref="F149:F156" si="10">C149*D149*D149/2</f>
        <v>77.247499999999988</v>
      </c>
      <c r="G149" s="22">
        <f>F149*10^9</f>
        <v>77247499999.999985</v>
      </c>
      <c r="H149" s="23"/>
    </row>
    <row r="150" spans="1:10">
      <c r="A150" s="48" t="s">
        <v>267</v>
      </c>
      <c r="B150" s="48"/>
      <c r="C150" s="19">
        <v>1.4</v>
      </c>
      <c r="D150" s="19">
        <v>1.4</v>
      </c>
      <c r="E150" s="20" t="s">
        <v>269</v>
      </c>
      <c r="F150" s="21">
        <f t="shared" si="10"/>
        <v>1.3719999999999997</v>
      </c>
      <c r="G150" s="22">
        <f t="shared" ref="G150:G157" si="11">F150*10^9</f>
        <v>1371999999.9999998</v>
      </c>
      <c r="H150" s="23"/>
    </row>
    <row r="151" spans="1:10">
      <c r="A151" s="48" t="s">
        <v>156</v>
      </c>
      <c r="B151" s="48"/>
      <c r="C151" s="19">
        <v>1.9</v>
      </c>
      <c r="D151" s="19">
        <v>1.7</v>
      </c>
      <c r="E151" s="20" t="s">
        <v>270</v>
      </c>
      <c r="F151" s="21">
        <f t="shared" si="10"/>
        <v>2.7454999999999998</v>
      </c>
      <c r="G151" s="22">
        <f t="shared" si="11"/>
        <v>2745500000</v>
      </c>
      <c r="H151" s="23"/>
    </row>
    <row r="152" spans="1:10">
      <c r="A152" s="48" t="s">
        <v>271</v>
      </c>
      <c r="B152" s="48"/>
      <c r="C152" s="19">
        <v>1</v>
      </c>
      <c r="D152" s="19">
        <v>1</v>
      </c>
      <c r="E152" s="20" t="s">
        <v>272</v>
      </c>
      <c r="F152" s="21">
        <f t="shared" si="10"/>
        <v>0.5</v>
      </c>
      <c r="G152" s="22">
        <f t="shared" si="11"/>
        <v>500000000</v>
      </c>
      <c r="H152" s="23"/>
    </row>
    <row r="153" spans="1:10">
      <c r="A153" s="48" t="s">
        <v>273</v>
      </c>
      <c r="B153" s="48"/>
      <c r="C153" s="19">
        <v>2.8</v>
      </c>
      <c r="D153" s="19">
        <v>2.4</v>
      </c>
      <c r="E153" s="20" t="s">
        <v>274</v>
      </c>
      <c r="F153" s="21">
        <f t="shared" si="10"/>
        <v>8.0640000000000001</v>
      </c>
      <c r="G153" s="22">
        <f t="shared" si="11"/>
        <v>8064000000</v>
      </c>
      <c r="H153" s="23"/>
    </row>
    <row r="154" spans="1:10">
      <c r="A154" s="48" t="s">
        <v>275</v>
      </c>
      <c r="B154" s="48"/>
      <c r="C154" s="19">
        <v>3.1</v>
      </c>
      <c r="D154" s="19">
        <v>2</v>
      </c>
      <c r="E154" s="20" t="s">
        <v>158</v>
      </c>
      <c r="F154" s="21">
        <f t="shared" si="10"/>
        <v>6.2</v>
      </c>
      <c r="G154" s="22">
        <f t="shared" si="11"/>
        <v>6200000000</v>
      </c>
      <c r="H154" s="23"/>
    </row>
    <row r="155" spans="1:10">
      <c r="A155" s="48" t="s">
        <v>276</v>
      </c>
      <c r="B155" s="48"/>
      <c r="C155" s="19">
        <v>1.6</v>
      </c>
      <c r="D155" s="19">
        <v>1.5</v>
      </c>
      <c r="E155" s="20" t="s">
        <v>203</v>
      </c>
      <c r="F155" s="21">
        <f t="shared" si="10"/>
        <v>1.8000000000000003</v>
      </c>
      <c r="G155" s="22">
        <f t="shared" si="11"/>
        <v>1800000000.0000002</v>
      </c>
      <c r="H155" s="23"/>
    </row>
    <row r="156" spans="1:10">
      <c r="A156" s="48" t="s">
        <v>276</v>
      </c>
      <c r="B156" s="48"/>
      <c r="C156" s="19">
        <v>0.8</v>
      </c>
      <c r="D156" s="19">
        <v>0.6</v>
      </c>
      <c r="E156" s="20" t="s">
        <v>277</v>
      </c>
      <c r="F156" s="21">
        <f t="shared" si="10"/>
        <v>0.14399999999999999</v>
      </c>
      <c r="G156" s="22">
        <f t="shared" si="11"/>
        <v>144000000</v>
      </c>
      <c r="H156" s="23"/>
    </row>
    <row r="157" spans="1:10">
      <c r="A157" s="46" t="s">
        <v>417</v>
      </c>
      <c r="B157" s="46"/>
      <c r="C157" s="16"/>
      <c r="D157" s="16"/>
      <c r="E157" s="16"/>
      <c r="F157" s="26">
        <f>SUM(F149:F156)</f>
        <v>98.072999999999979</v>
      </c>
      <c r="G157" s="27">
        <f t="shared" si="11"/>
        <v>98072999999.999985</v>
      </c>
    </row>
    <row r="159" spans="1:10">
      <c r="A159" s="9" t="s">
        <v>448</v>
      </c>
      <c r="B159" s="9" t="s">
        <v>430</v>
      </c>
      <c r="C159" s="10"/>
      <c r="D159" s="10"/>
    </row>
    <row r="160" spans="1:10">
      <c r="A160" s="13" t="s">
        <v>34</v>
      </c>
      <c r="B160" s="14">
        <v>39846</v>
      </c>
      <c r="C160" s="44" t="s">
        <v>413</v>
      </c>
      <c r="D160" s="44"/>
      <c r="E160" s="44" t="s">
        <v>32</v>
      </c>
      <c r="F160" s="15" t="s">
        <v>421</v>
      </c>
      <c r="G160" s="15" t="s">
        <v>421</v>
      </c>
    </row>
    <row r="161" spans="1:10" ht="16.5" customHeight="1">
      <c r="A161" s="47" t="s">
        <v>33</v>
      </c>
      <c r="B161" s="47"/>
      <c r="C161" s="16" t="s">
        <v>414</v>
      </c>
      <c r="D161" s="16" t="s">
        <v>415</v>
      </c>
      <c r="E161" s="44"/>
      <c r="F161" s="17" t="s">
        <v>423</v>
      </c>
      <c r="G161" s="17" t="s">
        <v>422</v>
      </c>
      <c r="H161" s="18"/>
      <c r="I161" s="18"/>
      <c r="J161" s="18"/>
    </row>
    <row r="162" spans="1:10">
      <c r="A162" s="48" t="s">
        <v>222</v>
      </c>
      <c r="B162" s="48"/>
      <c r="C162" s="19">
        <v>1.4</v>
      </c>
      <c r="D162" s="19">
        <v>1.2</v>
      </c>
      <c r="E162" s="20" t="s">
        <v>223</v>
      </c>
      <c r="F162" s="21">
        <f t="shared" ref="F162:F186" si="12">C162*D162*D162/2</f>
        <v>1.008</v>
      </c>
      <c r="G162" s="22">
        <f>F162*10^9</f>
        <v>1008000000</v>
      </c>
      <c r="H162" s="23"/>
    </row>
    <row r="163" spans="1:10">
      <c r="A163" s="48" t="s">
        <v>224</v>
      </c>
      <c r="B163" s="48"/>
      <c r="C163" s="19">
        <v>4</v>
      </c>
      <c r="D163" s="19">
        <v>3.5</v>
      </c>
      <c r="E163" s="20" t="s">
        <v>225</v>
      </c>
      <c r="F163" s="21">
        <f t="shared" si="12"/>
        <v>24.5</v>
      </c>
      <c r="G163" s="22">
        <f t="shared" ref="G163:G187" si="13">F163*10^9</f>
        <v>24500000000</v>
      </c>
      <c r="H163" s="23"/>
    </row>
    <row r="164" spans="1:10">
      <c r="A164" s="48" t="s">
        <v>226</v>
      </c>
      <c r="B164" s="48"/>
      <c r="C164" s="19">
        <v>1.2</v>
      </c>
      <c r="D164" s="19">
        <v>0.9</v>
      </c>
      <c r="E164" s="20" t="s">
        <v>225</v>
      </c>
      <c r="F164" s="21">
        <f t="shared" si="12"/>
        <v>0.48600000000000004</v>
      </c>
      <c r="G164" s="22">
        <f t="shared" si="13"/>
        <v>486000000.00000006</v>
      </c>
      <c r="H164" s="23"/>
    </row>
    <row r="165" spans="1:10">
      <c r="A165" s="48" t="s">
        <v>227</v>
      </c>
      <c r="B165" s="48"/>
      <c r="C165" s="19">
        <v>1.1000000000000001</v>
      </c>
      <c r="D165" s="19">
        <v>0.7</v>
      </c>
      <c r="E165" s="20" t="s">
        <v>228</v>
      </c>
      <c r="F165" s="21">
        <f t="shared" si="12"/>
        <v>0.26949999999999996</v>
      </c>
      <c r="G165" s="22">
        <f t="shared" si="13"/>
        <v>269499999.99999994</v>
      </c>
      <c r="H165" s="23"/>
    </row>
    <row r="166" spans="1:10">
      <c r="A166" s="48" t="s">
        <v>229</v>
      </c>
      <c r="B166" s="48"/>
      <c r="C166" s="19">
        <v>1.3</v>
      </c>
      <c r="D166" s="19">
        <v>1</v>
      </c>
      <c r="E166" s="20" t="s">
        <v>228</v>
      </c>
      <c r="F166" s="21">
        <f t="shared" si="12"/>
        <v>0.65</v>
      </c>
      <c r="G166" s="22">
        <f t="shared" si="13"/>
        <v>650000000</v>
      </c>
      <c r="H166" s="23"/>
    </row>
    <row r="167" spans="1:10">
      <c r="A167" s="48" t="s">
        <v>230</v>
      </c>
      <c r="B167" s="48"/>
      <c r="C167" s="19">
        <v>4.0999999999999996</v>
      </c>
      <c r="D167" s="19">
        <v>3.3</v>
      </c>
      <c r="E167" s="20" t="s">
        <v>228</v>
      </c>
      <c r="F167" s="21">
        <f t="shared" si="12"/>
        <v>22.324499999999993</v>
      </c>
      <c r="G167" s="22">
        <f t="shared" si="13"/>
        <v>22324499999.999992</v>
      </c>
      <c r="H167" s="23"/>
    </row>
    <row r="168" spans="1:10">
      <c r="A168" s="48" t="s">
        <v>231</v>
      </c>
      <c r="B168" s="48"/>
      <c r="C168" s="19">
        <v>0.5</v>
      </c>
      <c r="D168" s="19">
        <v>0.4</v>
      </c>
      <c r="E168" s="20" t="s">
        <v>232</v>
      </c>
      <c r="F168" s="21">
        <f t="shared" si="12"/>
        <v>4.0000000000000008E-2</v>
      </c>
      <c r="G168" s="22">
        <f t="shared" si="13"/>
        <v>40000000.000000007</v>
      </c>
      <c r="H168" s="23"/>
    </row>
    <row r="169" spans="1:10">
      <c r="A169" s="48" t="s">
        <v>233</v>
      </c>
      <c r="B169" s="48"/>
      <c r="C169" s="19">
        <v>0.8</v>
      </c>
      <c r="D169" s="19">
        <v>0.6</v>
      </c>
      <c r="E169" s="20" t="s">
        <v>232</v>
      </c>
      <c r="F169" s="21">
        <f t="shared" si="12"/>
        <v>0.14399999999999999</v>
      </c>
      <c r="G169" s="22">
        <f t="shared" si="13"/>
        <v>144000000</v>
      </c>
      <c r="H169" s="23"/>
    </row>
    <row r="170" spans="1:10">
      <c r="A170" s="48" t="s">
        <v>234</v>
      </c>
      <c r="B170" s="48"/>
      <c r="C170" s="19">
        <v>0.8</v>
      </c>
      <c r="D170" s="19">
        <v>0.7</v>
      </c>
      <c r="E170" s="20" t="s">
        <v>235</v>
      </c>
      <c r="F170" s="21">
        <f t="shared" si="12"/>
        <v>0.19599999999999998</v>
      </c>
      <c r="G170" s="22">
        <f t="shared" si="13"/>
        <v>195999999.99999997</v>
      </c>
      <c r="H170" s="23"/>
    </row>
    <row r="171" spans="1:10">
      <c r="A171" s="48" t="s">
        <v>236</v>
      </c>
      <c r="B171" s="48"/>
      <c r="C171" s="19">
        <v>0.8</v>
      </c>
      <c r="D171" s="19">
        <v>0.6</v>
      </c>
      <c r="E171" s="20" t="s">
        <v>237</v>
      </c>
      <c r="F171" s="21">
        <f t="shared" si="12"/>
        <v>0.14399999999999999</v>
      </c>
      <c r="G171" s="22">
        <f t="shared" si="13"/>
        <v>144000000</v>
      </c>
      <c r="H171" s="23"/>
    </row>
    <row r="172" spans="1:10">
      <c r="A172" s="48" t="s">
        <v>236</v>
      </c>
      <c r="B172" s="45"/>
      <c r="C172" s="19">
        <v>1</v>
      </c>
      <c r="D172" s="19">
        <v>0.8</v>
      </c>
      <c r="E172" s="20" t="s">
        <v>237</v>
      </c>
      <c r="F172" s="21">
        <f t="shared" si="12"/>
        <v>0.32000000000000006</v>
      </c>
      <c r="G172" s="22">
        <f t="shared" si="13"/>
        <v>320000000.00000006</v>
      </c>
      <c r="H172" s="23"/>
    </row>
    <row r="173" spans="1:10">
      <c r="A173" s="48" t="s">
        <v>238</v>
      </c>
      <c r="B173" s="45"/>
      <c r="C173" s="19">
        <v>0.6</v>
      </c>
      <c r="D173" s="19">
        <v>0.5</v>
      </c>
      <c r="E173" s="20" t="s">
        <v>239</v>
      </c>
      <c r="F173" s="21">
        <f t="shared" si="12"/>
        <v>7.4999999999999997E-2</v>
      </c>
      <c r="G173" s="22">
        <f t="shared" si="13"/>
        <v>75000000</v>
      </c>
      <c r="H173" s="23"/>
    </row>
    <row r="174" spans="1:10">
      <c r="A174" s="48" t="s">
        <v>240</v>
      </c>
      <c r="B174" s="48"/>
      <c r="C174" s="19">
        <v>0.8</v>
      </c>
      <c r="D174" s="19">
        <v>0.6</v>
      </c>
      <c r="E174" s="20" t="s">
        <v>241</v>
      </c>
      <c r="F174" s="21">
        <f t="shared" si="12"/>
        <v>0.14399999999999999</v>
      </c>
      <c r="G174" s="22">
        <f t="shared" si="13"/>
        <v>144000000</v>
      </c>
      <c r="H174" s="23"/>
    </row>
    <row r="175" spans="1:10">
      <c r="A175" s="48" t="s">
        <v>242</v>
      </c>
      <c r="B175" s="48"/>
      <c r="C175" s="19">
        <v>0.8</v>
      </c>
      <c r="D175" s="19">
        <v>0.7</v>
      </c>
      <c r="E175" s="20" t="s">
        <v>243</v>
      </c>
      <c r="F175" s="21">
        <f t="shared" si="12"/>
        <v>0.19599999999999998</v>
      </c>
      <c r="G175" s="22">
        <f t="shared" si="13"/>
        <v>195999999.99999997</v>
      </c>
      <c r="H175" s="23"/>
    </row>
    <row r="176" spans="1:10">
      <c r="A176" s="48" t="s">
        <v>244</v>
      </c>
      <c r="B176" s="45"/>
      <c r="C176" s="19">
        <v>0.4</v>
      </c>
      <c r="D176" s="19">
        <v>0.4</v>
      </c>
      <c r="E176" s="20" t="s">
        <v>245</v>
      </c>
      <c r="F176" s="21">
        <f t="shared" si="12"/>
        <v>3.2000000000000008E-2</v>
      </c>
      <c r="G176" s="22">
        <f t="shared" si="13"/>
        <v>32000000.000000007</v>
      </c>
      <c r="H176" s="23"/>
    </row>
    <row r="177" spans="1:10">
      <c r="A177" s="48" t="s">
        <v>246</v>
      </c>
      <c r="B177" s="45"/>
      <c r="C177" s="19">
        <v>0.7</v>
      </c>
      <c r="D177" s="19">
        <v>0.7</v>
      </c>
      <c r="E177" s="20" t="s">
        <v>247</v>
      </c>
      <c r="F177" s="21">
        <f t="shared" si="12"/>
        <v>0.17149999999999996</v>
      </c>
      <c r="G177" s="22">
        <f t="shared" si="13"/>
        <v>171499999.99999997</v>
      </c>
      <c r="H177" s="23"/>
    </row>
    <row r="178" spans="1:10">
      <c r="A178" s="48" t="s">
        <v>248</v>
      </c>
      <c r="B178" s="45"/>
      <c r="C178" s="19">
        <v>1.6</v>
      </c>
      <c r="D178" s="19">
        <v>1.3</v>
      </c>
      <c r="E178" s="20" t="s">
        <v>249</v>
      </c>
      <c r="F178" s="21">
        <f t="shared" si="12"/>
        <v>1.3520000000000001</v>
      </c>
      <c r="G178" s="22">
        <f t="shared" si="13"/>
        <v>1352000000</v>
      </c>
      <c r="H178" s="23"/>
    </row>
    <row r="179" spans="1:10">
      <c r="A179" s="48" t="s">
        <v>248</v>
      </c>
      <c r="B179" s="45"/>
      <c r="C179" s="19">
        <v>1.7</v>
      </c>
      <c r="D179" s="19">
        <v>1.4</v>
      </c>
      <c r="E179" s="20" t="s">
        <v>250</v>
      </c>
      <c r="F179" s="21">
        <f t="shared" si="12"/>
        <v>1.6659999999999999</v>
      </c>
      <c r="G179" s="22">
        <f t="shared" si="13"/>
        <v>1666000000</v>
      </c>
      <c r="H179" s="23"/>
    </row>
    <row r="180" spans="1:10">
      <c r="A180" s="48" t="s">
        <v>251</v>
      </c>
      <c r="B180" s="45"/>
      <c r="C180" s="19">
        <v>4.4000000000000004</v>
      </c>
      <c r="D180" s="19">
        <v>3</v>
      </c>
      <c r="E180" s="20" t="s">
        <v>252</v>
      </c>
      <c r="F180" s="21">
        <f t="shared" si="12"/>
        <v>19.8</v>
      </c>
      <c r="G180" s="22">
        <f t="shared" si="13"/>
        <v>19800000000</v>
      </c>
      <c r="H180" s="23"/>
    </row>
    <row r="181" spans="1:10">
      <c r="A181" s="48" t="s">
        <v>253</v>
      </c>
      <c r="B181" s="48"/>
      <c r="C181" s="19">
        <v>2.6</v>
      </c>
      <c r="D181" s="19">
        <v>1.5</v>
      </c>
      <c r="E181" s="20" t="s">
        <v>237</v>
      </c>
      <c r="F181" s="21">
        <f t="shared" si="12"/>
        <v>2.9250000000000003</v>
      </c>
      <c r="G181" s="22">
        <f t="shared" si="13"/>
        <v>2925000000.0000005</v>
      </c>
      <c r="H181" s="23"/>
    </row>
    <row r="182" spans="1:10">
      <c r="A182" s="48" t="s">
        <v>254</v>
      </c>
      <c r="B182" s="48"/>
      <c r="C182" s="19">
        <v>3.7</v>
      </c>
      <c r="D182" s="19">
        <v>2.2000000000000002</v>
      </c>
      <c r="E182" s="20" t="s">
        <v>255</v>
      </c>
      <c r="F182" s="21">
        <f t="shared" si="12"/>
        <v>8.9540000000000006</v>
      </c>
      <c r="G182" s="22">
        <f t="shared" si="13"/>
        <v>8954000000</v>
      </c>
      <c r="H182" s="23"/>
    </row>
    <row r="183" spans="1:10">
      <c r="A183" s="48" t="s">
        <v>256</v>
      </c>
      <c r="B183" s="48"/>
      <c r="C183" s="19">
        <v>1.3</v>
      </c>
      <c r="D183" s="19">
        <v>1</v>
      </c>
      <c r="E183" s="20" t="s">
        <v>243</v>
      </c>
      <c r="F183" s="21">
        <f t="shared" si="12"/>
        <v>0.65</v>
      </c>
      <c r="G183" s="22">
        <f t="shared" si="13"/>
        <v>650000000</v>
      </c>
      <c r="H183" s="23"/>
    </row>
    <row r="184" spans="1:10">
      <c r="A184" s="48" t="s">
        <v>257</v>
      </c>
      <c r="B184" s="48"/>
      <c r="C184" s="19">
        <v>1.9</v>
      </c>
      <c r="D184" s="19">
        <v>1.1000000000000001</v>
      </c>
      <c r="E184" s="20" t="s">
        <v>258</v>
      </c>
      <c r="F184" s="21">
        <f t="shared" si="12"/>
        <v>1.1495</v>
      </c>
      <c r="G184" s="22">
        <f t="shared" si="13"/>
        <v>1149500000</v>
      </c>
      <c r="H184" s="23"/>
    </row>
    <row r="185" spans="1:10">
      <c r="A185" s="48" t="s">
        <v>259</v>
      </c>
      <c r="B185" s="48"/>
      <c r="C185" s="19">
        <v>2.4</v>
      </c>
      <c r="D185" s="19">
        <v>1.6</v>
      </c>
      <c r="E185" s="20" t="s">
        <v>247</v>
      </c>
      <c r="F185" s="21">
        <f t="shared" si="12"/>
        <v>3.0720000000000001</v>
      </c>
      <c r="G185" s="22">
        <f t="shared" si="13"/>
        <v>3072000000</v>
      </c>
      <c r="H185" s="23"/>
    </row>
    <row r="186" spans="1:10">
      <c r="A186" s="48" t="s">
        <v>260</v>
      </c>
      <c r="B186" s="48"/>
      <c r="C186" s="19">
        <v>1.7</v>
      </c>
      <c r="D186" s="19">
        <v>0.8</v>
      </c>
      <c r="E186" s="20" t="s">
        <v>225</v>
      </c>
      <c r="F186" s="21">
        <f t="shared" si="12"/>
        <v>0.54400000000000004</v>
      </c>
      <c r="G186" s="22">
        <f t="shared" si="13"/>
        <v>544000000</v>
      </c>
      <c r="H186" s="23"/>
    </row>
    <row r="187" spans="1:10">
      <c r="A187" s="46" t="s">
        <v>417</v>
      </c>
      <c r="B187" s="46"/>
      <c r="C187" s="16"/>
      <c r="D187" s="16"/>
      <c r="E187" s="16"/>
      <c r="F187" s="26">
        <f>SUM(F162:F186)</f>
        <v>90.812999999999988</v>
      </c>
      <c r="G187" s="27">
        <f t="shared" si="13"/>
        <v>90812999999.999985</v>
      </c>
    </row>
    <row r="189" spans="1:10">
      <c r="A189" s="9" t="s">
        <v>448</v>
      </c>
      <c r="B189" s="9" t="s">
        <v>431</v>
      </c>
      <c r="C189" s="10"/>
      <c r="D189" s="10"/>
    </row>
    <row r="190" spans="1:10">
      <c r="A190" s="13" t="s">
        <v>34</v>
      </c>
      <c r="B190" s="14">
        <v>41186</v>
      </c>
      <c r="C190" s="44" t="s">
        <v>413</v>
      </c>
      <c r="D190" s="44"/>
      <c r="E190" s="44" t="s">
        <v>32</v>
      </c>
      <c r="F190" s="15" t="s">
        <v>421</v>
      </c>
      <c r="G190" s="15" t="s">
        <v>421</v>
      </c>
    </row>
    <row r="191" spans="1:10" ht="15" customHeight="1">
      <c r="A191" s="47" t="s">
        <v>33</v>
      </c>
      <c r="B191" s="47"/>
      <c r="C191" s="16" t="s">
        <v>414</v>
      </c>
      <c r="D191" s="16" t="s">
        <v>415</v>
      </c>
      <c r="E191" s="44"/>
      <c r="F191" s="17" t="s">
        <v>423</v>
      </c>
      <c r="G191" s="17" t="s">
        <v>422</v>
      </c>
      <c r="H191" s="18"/>
      <c r="I191" s="18"/>
      <c r="J191" s="18"/>
    </row>
    <row r="192" spans="1:10">
      <c r="A192" s="48" t="s">
        <v>337</v>
      </c>
      <c r="B192" s="48"/>
      <c r="C192" s="19">
        <v>2.6</v>
      </c>
      <c r="D192" s="19">
        <v>2.1</v>
      </c>
      <c r="E192" s="20" t="s">
        <v>420</v>
      </c>
      <c r="F192" s="21">
        <f t="shared" ref="F192:F199" si="14">C192*D192*D192/2</f>
        <v>5.7330000000000014</v>
      </c>
      <c r="G192" s="22">
        <f>F192*10^9</f>
        <v>5733000000.000001</v>
      </c>
      <c r="H192" s="23"/>
    </row>
    <row r="193" spans="1:10">
      <c r="A193" s="48" t="s">
        <v>338</v>
      </c>
      <c r="B193" s="48"/>
      <c r="C193" s="19">
        <v>0.8</v>
      </c>
      <c r="D193" s="19">
        <v>0.8</v>
      </c>
      <c r="E193" s="20" t="s">
        <v>339</v>
      </c>
      <c r="F193" s="21">
        <f t="shared" si="14"/>
        <v>0.25600000000000006</v>
      </c>
      <c r="G193" s="22">
        <f t="shared" ref="G193:G200" si="15">F193*10^9</f>
        <v>256000000.00000006</v>
      </c>
      <c r="H193" s="23"/>
    </row>
    <row r="194" spans="1:10">
      <c r="A194" s="48" t="s">
        <v>340</v>
      </c>
      <c r="B194" s="48"/>
      <c r="C194" s="19">
        <v>2.1</v>
      </c>
      <c r="D194" s="19">
        <v>1.9</v>
      </c>
      <c r="E194" s="20" t="s">
        <v>341</v>
      </c>
      <c r="F194" s="21">
        <f t="shared" si="14"/>
        <v>3.7904999999999998</v>
      </c>
      <c r="G194" s="22">
        <f t="shared" si="15"/>
        <v>3790499999.9999995</v>
      </c>
      <c r="H194" s="23"/>
    </row>
    <row r="195" spans="1:10">
      <c r="A195" s="48" t="s">
        <v>342</v>
      </c>
      <c r="B195" s="48"/>
      <c r="C195" s="19">
        <v>1.8</v>
      </c>
      <c r="D195" s="19">
        <v>1.6</v>
      </c>
      <c r="E195" s="20" t="s">
        <v>343</v>
      </c>
      <c r="F195" s="21">
        <f t="shared" si="14"/>
        <v>2.3040000000000003</v>
      </c>
      <c r="G195" s="22">
        <f t="shared" si="15"/>
        <v>2304000000.0000005</v>
      </c>
      <c r="H195" s="23"/>
    </row>
    <row r="196" spans="1:10">
      <c r="A196" s="48" t="s">
        <v>342</v>
      </c>
      <c r="B196" s="48"/>
      <c r="C196" s="19">
        <v>1.1000000000000001</v>
      </c>
      <c r="D196" s="19">
        <v>0.9</v>
      </c>
      <c r="E196" s="20" t="s">
        <v>344</v>
      </c>
      <c r="F196" s="21">
        <f t="shared" si="14"/>
        <v>0.44550000000000006</v>
      </c>
      <c r="G196" s="22">
        <f t="shared" si="15"/>
        <v>445500000.00000006</v>
      </c>
      <c r="H196" s="23"/>
    </row>
    <row r="197" spans="1:10">
      <c r="A197" s="48" t="s">
        <v>345</v>
      </c>
      <c r="B197" s="48"/>
      <c r="C197" s="19">
        <v>1.5</v>
      </c>
      <c r="D197" s="19">
        <v>1.3</v>
      </c>
      <c r="E197" s="20" t="s">
        <v>346</v>
      </c>
      <c r="F197" s="21">
        <f t="shared" si="14"/>
        <v>1.2675000000000001</v>
      </c>
      <c r="G197" s="22">
        <f t="shared" si="15"/>
        <v>1267500000</v>
      </c>
      <c r="H197" s="23"/>
    </row>
    <row r="198" spans="1:10">
      <c r="A198" s="48" t="s">
        <v>345</v>
      </c>
      <c r="B198" s="48"/>
      <c r="C198" s="19">
        <v>3.2</v>
      </c>
      <c r="D198" s="19">
        <v>2.6</v>
      </c>
      <c r="E198" s="20" t="s">
        <v>347</v>
      </c>
      <c r="F198" s="21">
        <f t="shared" si="14"/>
        <v>10.816000000000001</v>
      </c>
      <c r="G198" s="22">
        <f t="shared" si="15"/>
        <v>10816000000</v>
      </c>
      <c r="H198" s="23"/>
    </row>
    <row r="199" spans="1:10">
      <c r="A199" s="48" t="s">
        <v>342</v>
      </c>
      <c r="B199" s="48"/>
      <c r="C199" s="19">
        <v>5.3</v>
      </c>
      <c r="D199" s="19">
        <v>4.3</v>
      </c>
      <c r="E199" s="20" t="s">
        <v>348</v>
      </c>
      <c r="F199" s="21">
        <f t="shared" si="14"/>
        <v>48.998499999999993</v>
      </c>
      <c r="G199" s="22">
        <f t="shared" si="15"/>
        <v>48998499999.999992</v>
      </c>
      <c r="H199" s="23"/>
    </row>
    <row r="200" spans="1:10">
      <c r="A200" s="46" t="s">
        <v>417</v>
      </c>
      <c r="B200" s="46"/>
      <c r="C200" s="16"/>
      <c r="D200" s="16"/>
      <c r="E200" s="16"/>
      <c r="F200" s="26">
        <f>SUM(F192:F199)</f>
        <v>73.61099999999999</v>
      </c>
      <c r="G200" s="27">
        <f t="shared" si="15"/>
        <v>73610999999.999985</v>
      </c>
    </row>
    <row r="202" spans="1:10">
      <c r="A202" s="9" t="s">
        <v>448</v>
      </c>
      <c r="B202" s="9" t="s">
        <v>432</v>
      </c>
      <c r="C202" s="10"/>
      <c r="D202" s="10"/>
    </row>
    <row r="203" spans="1:10">
      <c r="A203" s="13" t="s">
        <v>34</v>
      </c>
      <c r="B203" s="14">
        <v>41082</v>
      </c>
      <c r="C203" s="44" t="s">
        <v>413</v>
      </c>
      <c r="D203" s="44"/>
      <c r="E203" s="44" t="s">
        <v>32</v>
      </c>
      <c r="F203" s="15" t="s">
        <v>421</v>
      </c>
      <c r="G203" s="15" t="s">
        <v>421</v>
      </c>
    </row>
    <row r="204" spans="1:10" ht="14.25" customHeight="1">
      <c r="A204" s="47" t="s">
        <v>33</v>
      </c>
      <c r="B204" s="47"/>
      <c r="C204" s="16" t="s">
        <v>414</v>
      </c>
      <c r="D204" s="16" t="s">
        <v>415</v>
      </c>
      <c r="E204" s="44"/>
      <c r="F204" s="17" t="s">
        <v>423</v>
      </c>
      <c r="G204" s="17" t="s">
        <v>422</v>
      </c>
      <c r="H204" s="18"/>
      <c r="I204" s="18"/>
      <c r="J204" s="18"/>
    </row>
    <row r="205" spans="1:10">
      <c r="A205" s="48" t="s">
        <v>392</v>
      </c>
      <c r="B205" s="48"/>
      <c r="C205" s="19">
        <v>4.7</v>
      </c>
      <c r="D205" s="19">
        <v>4.5</v>
      </c>
      <c r="E205" s="28" t="s">
        <v>341</v>
      </c>
      <c r="F205" s="21">
        <f t="shared" ref="F205:F227" si="16">C205*D205*D205/2</f>
        <v>47.587500000000006</v>
      </c>
      <c r="G205" s="22">
        <f>F205*10^9</f>
        <v>47587500000.000008</v>
      </c>
      <c r="H205" s="23"/>
    </row>
    <row r="206" spans="1:10">
      <c r="A206" s="48" t="s">
        <v>338</v>
      </c>
      <c r="B206" s="48"/>
      <c r="C206" s="19">
        <v>0.7</v>
      </c>
      <c r="D206" s="19">
        <v>0.6</v>
      </c>
      <c r="E206" s="20" t="s">
        <v>339</v>
      </c>
      <c r="F206" s="21">
        <f t="shared" si="16"/>
        <v>0.126</v>
      </c>
      <c r="G206" s="22">
        <f t="shared" ref="G206:G227" si="17">F206*10^9</f>
        <v>126000000</v>
      </c>
      <c r="H206" s="23"/>
    </row>
    <row r="207" spans="1:10">
      <c r="A207" s="48" t="s">
        <v>393</v>
      </c>
      <c r="B207" s="48"/>
      <c r="C207" s="19">
        <v>0.5</v>
      </c>
      <c r="D207" s="19">
        <v>0.4</v>
      </c>
      <c r="E207" s="20" t="s">
        <v>394</v>
      </c>
      <c r="F207" s="21">
        <f t="shared" si="16"/>
        <v>4.0000000000000008E-2</v>
      </c>
      <c r="G207" s="22">
        <f t="shared" si="17"/>
        <v>40000000.000000007</v>
      </c>
      <c r="H207" s="23"/>
    </row>
    <row r="208" spans="1:10">
      <c r="A208" s="48" t="s">
        <v>395</v>
      </c>
      <c r="B208" s="48"/>
      <c r="C208" s="19">
        <v>0.6</v>
      </c>
      <c r="D208" s="19">
        <v>0.6</v>
      </c>
      <c r="E208" s="20" t="s">
        <v>396</v>
      </c>
      <c r="F208" s="21">
        <f t="shared" si="16"/>
        <v>0.108</v>
      </c>
      <c r="G208" s="22">
        <f t="shared" si="17"/>
        <v>108000000</v>
      </c>
      <c r="H208" s="23"/>
    </row>
    <row r="209" spans="1:8">
      <c r="A209" s="48" t="s">
        <v>393</v>
      </c>
      <c r="B209" s="48"/>
      <c r="C209" s="19">
        <v>0.5</v>
      </c>
      <c r="D209" s="19">
        <v>0.4</v>
      </c>
      <c r="E209" s="20" t="s">
        <v>397</v>
      </c>
      <c r="F209" s="21">
        <f t="shared" si="16"/>
        <v>4.0000000000000008E-2</v>
      </c>
      <c r="G209" s="22">
        <f t="shared" si="17"/>
        <v>40000000.000000007</v>
      </c>
      <c r="H209" s="23"/>
    </row>
    <row r="210" spans="1:8">
      <c r="A210" s="48" t="s">
        <v>393</v>
      </c>
      <c r="B210" s="48"/>
      <c r="C210" s="19">
        <v>0.4</v>
      </c>
      <c r="D210" s="19">
        <v>0.4</v>
      </c>
      <c r="E210" s="20" t="s">
        <v>398</v>
      </c>
      <c r="F210" s="21">
        <f t="shared" si="16"/>
        <v>3.2000000000000008E-2</v>
      </c>
      <c r="G210" s="22">
        <f t="shared" si="17"/>
        <v>32000000.000000007</v>
      </c>
      <c r="H210" s="23"/>
    </row>
    <row r="211" spans="1:8">
      <c r="A211" s="48" t="s">
        <v>395</v>
      </c>
      <c r="B211" s="48"/>
      <c r="C211" s="19">
        <v>0.5</v>
      </c>
      <c r="D211" s="19">
        <v>0.5</v>
      </c>
      <c r="E211" s="20" t="s">
        <v>397</v>
      </c>
      <c r="F211" s="21">
        <f t="shared" si="16"/>
        <v>6.25E-2</v>
      </c>
      <c r="G211" s="22">
        <f t="shared" si="17"/>
        <v>62500000</v>
      </c>
      <c r="H211" s="23"/>
    </row>
    <row r="212" spans="1:8">
      <c r="A212" s="48" t="s">
        <v>393</v>
      </c>
      <c r="B212" s="48"/>
      <c r="C212" s="19">
        <v>0.7</v>
      </c>
      <c r="D212" s="19">
        <v>0.7</v>
      </c>
      <c r="E212" s="20" t="s">
        <v>399</v>
      </c>
      <c r="F212" s="21">
        <f t="shared" si="16"/>
        <v>0.17149999999999996</v>
      </c>
      <c r="G212" s="22">
        <f t="shared" si="17"/>
        <v>171499999.99999997</v>
      </c>
      <c r="H212" s="23"/>
    </row>
    <row r="213" spans="1:8">
      <c r="A213" s="48" t="s">
        <v>400</v>
      </c>
      <c r="B213" s="48"/>
      <c r="C213" s="19">
        <v>0.4</v>
      </c>
      <c r="D213" s="19">
        <v>0.4</v>
      </c>
      <c r="E213" s="20" t="s">
        <v>399</v>
      </c>
      <c r="F213" s="21">
        <f t="shared" si="16"/>
        <v>3.2000000000000008E-2</v>
      </c>
      <c r="G213" s="22">
        <f t="shared" si="17"/>
        <v>32000000.000000007</v>
      </c>
      <c r="H213" s="23"/>
    </row>
    <row r="214" spans="1:8">
      <c r="A214" s="48" t="s">
        <v>401</v>
      </c>
      <c r="B214" s="48"/>
      <c r="C214" s="19">
        <v>0.8</v>
      </c>
      <c r="D214" s="19">
        <v>0.7</v>
      </c>
      <c r="E214" s="20" t="s">
        <v>399</v>
      </c>
      <c r="F214" s="21">
        <f t="shared" si="16"/>
        <v>0.19599999999999998</v>
      </c>
      <c r="G214" s="22">
        <f t="shared" si="17"/>
        <v>195999999.99999997</v>
      </c>
      <c r="H214" s="23"/>
    </row>
    <row r="215" spans="1:8">
      <c r="A215" s="48" t="s">
        <v>402</v>
      </c>
      <c r="B215" s="45"/>
      <c r="C215" s="19">
        <v>3.3</v>
      </c>
      <c r="D215" s="19">
        <v>2.8</v>
      </c>
      <c r="E215" s="20" t="s">
        <v>399</v>
      </c>
      <c r="F215" s="21">
        <f t="shared" si="16"/>
        <v>12.935999999999996</v>
      </c>
      <c r="G215" s="22">
        <f t="shared" si="17"/>
        <v>12935999999.999996</v>
      </c>
      <c r="H215" s="23"/>
    </row>
    <row r="216" spans="1:8">
      <c r="A216" s="48" t="s">
        <v>400</v>
      </c>
      <c r="B216" s="45"/>
      <c r="C216" s="19">
        <v>0.4</v>
      </c>
      <c r="D216" s="19">
        <v>0.4</v>
      </c>
      <c r="E216" s="20" t="s">
        <v>403</v>
      </c>
      <c r="F216" s="21">
        <f t="shared" si="16"/>
        <v>3.2000000000000008E-2</v>
      </c>
      <c r="G216" s="22">
        <f t="shared" si="17"/>
        <v>32000000.000000007</v>
      </c>
      <c r="H216" s="23"/>
    </row>
    <row r="217" spans="1:8">
      <c r="A217" s="48" t="s">
        <v>401</v>
      </c>
      <c r="B217" s="48"/>
      <c r="C217" s="19">
        <v>0.6</v>
      </c>
      <c r="D217" s="19">
        <v>0.6</v>
      </c>
      <c r="E217" s="20" t="s">
        <v>403</v>
      </c>
      <c r="F217" s="21">
        <f t="shared" si="16"/>
        <v>0.108</v>
      </c>
      <c r="G217" s="22">
        <f t="shared" si="17"/>
        <v>108000000</v>
      </c>
      <c r="H217" s="23"/>
    </row>
    <row r="218" spans="1:8">
      <c r="A218" s="48" t="s">
        <v>393</v>
      </c>
      <c r="B218" s="48"/>
      <c r="C218" s="19">
        <v>0.3</v>
      </c>
      <c r="D218" s="19">
        <v>0.3</v>
      </c>
      <c r="E218" s="20" t="s">
        <v>404</v>
      </c>
      <c r="F218" s="21">
        <f t="shared" si="16"/>
        <v>1.35E-2</v>
      </c>
      <c r="G218" s="22">
        <f t="shared" si="17"/>
        <v>13500000</v>
      </c>
      <c r="H218" s="23"/>
    </row>
    <row r="219" spans="1:8">
      <c r="A219" s="48" t="s">
        <v>395</v>
      </c>
      <c r="B219" s="45"/>
      <c r="C219" s="19">
        <v>0.3</v>
      </c>
      <c r="D219" s="19">
        <v>0.3</v>
      </c>
      <c r="E219" s="20" t="s">
        <v>404</v>
      </c>
      <c r="F219" s="21">
        <f t="shared" si="16"/>
        <v>1.35E-2</v>
      </c>
      <c r="G219" s="22">
        <f t="shared" si="17"/>
        <v>13500000</v>
      </c>
      <c r="H219" s="23"/>
    </row>
    <row r="220" spans="1:8">
      <c r="A220" s="48" t="s">
        <v>395</v>
      </c>
      <c r="B220" s="45"/>
      <c r="C220" s="19">
        <v>1.3</v>
      </c>
      <c r="D220" s="19">
        <v>1.2</v>
      </c>
      <c r="E220" s="20" t="s">
        <v>405</v>
      </c>
      <c r="F220" s="21">
        <f t="shared" si="16"/>
        <v>0.93599999999999994</v>
      </c>
      <c r="G220" s="22">
        <f t="shared" si="17"/>
        <v>936000000</v>
      </c>
      <c r="H220" s="23"/>
    </row>
    <row r="221" spans="1:8">
      <c r="A221" s="48" t="s">
        <v>395</v>
      </c>
      <c r="B221" s="45"/>
      <c r="C221" s="19">
        <v>0.7</v>
      </c>
      <c r="D221" s="19">
        <v>0.6</v>
      </c>
      <c r="E221" s="20" t="s">
        <v>344</v>
      </c>
      <c r="F221" s="21">
        <f t="shared" si="16"/>
        <v>0.126</v>
      </c>
      <c r="G221" s="22">
        <f t="shared" si="17"/>
        <v>126000000</v>
      </c>
      <c r="H221" s="23"/>
    </row>
    <row r="222" spans="1:8">
      <c r="A222" s="48" t="s">
        <v>395</v>
      </c>
      <c r="B222" s="45"/>
      <c r="C222" s="19">
        <v>0.3</v>
      </c>
      <c r="D222" s="19">
        <v>0.3</v>
      </c>
      <c r="E222" s="20" t="s">
        <v>406</v>
      </c>
      <c r="F222" s="21">
        <f t="shared" si="16"/>
        <v>1.35E-2</v>
      </c>
      <c r="G222" s="22">
        <f t="shared" si="17"/>
        <v>13500000</v>
      </c>
      <c r="H222" s="23"/>
    </row>
    <row r="223" spans="1:8">
      <c r="A223" s="48" t="s">
        <v>395</v>
      </c>
      <c r="B223" s="45"/>
      <c r="C223" s="19">
        <v>0.6</v>
      </c>
      <c r="D223" s="19">
        <v>0.5</v>
      </c>
      <c r="E223" s="20" t="s">
        <v>346</v>
      </c>
      <c r="F223" s="21">
        <f t="shared" si="16"/>
        <v>7.4999999999999997E-2</v>
      </c>
      <c r="G223" s="22">
        <f t="shared" si="17"/>
        <v>75000000</v>
      </c>
      <c r="H223" s="23"/>
    </row>
    <row r="224" spans="1:8">
      <c r="A224" s="48" t="s">
        <v>395</v>
      </c>
      <c r="B224" s="48"/>
      <c r="C224" s="19">
        <v>0.3</v>
      </c>
      <c r="D224" s="19">
        <v>0.3</v>
      </c>
      <c r="E224" s="20" t="s">
        <v>407</v>
      </c>
      <c r="F224" s="21">
        <f t="shared" si="16"/>
        <v>1.35E-2</v>
      </c>
      <c r="G224" s="22">
        <f t="shared" si="17"/>
        <v>13500000</v>
      </c>
      <c r="H224" s="23"/>
    </row>
    <row r="225" spans="1:10">
      <c r="A225" s="48" t="s">
        <v>408</v>
      </c>
      <c r="B225" s="48"/>
      <c r="C225" s="19">
        <v>1.1000000000000001</v>
      </c>
      <c r="D225" s="19">
        <v>1</v>
      </c>
      <c r="E225" s="20" t="s">
        <v>409</v>
      </c>
      <c r="F225" s="21">
        <f t="shared" si="16"/>
        <v>0.55000000000000004</v>
      </c>
      <c r="G225" s="22">
        <f t="shared" si="17"/>
        <v>550000000</v>
      </c>
      <c r="H225" s="23"/>
    </row>
    <row r="226" spans="1:10">
      <c r="A226" s="48" t="s">
        <v>410</v>
      </c>
      <c r="B226" s="48"/>
      <c r="C226" s="19">
        <v>1.4</v>
      </c>
      <c r="D226" s="19">
        <v>0.8</v>
      </c>
      <c r="E226" s="20" t="s">
        <v>411</v>
      </c>
      <c r="F226" s="21">
        <f t="shared" si="16"/>
        <v>0.44799999999999995</v>
      </c>
      <c r="G226" s="22">
        <f t="shared" si="17"/>
        <v>447999999.99999994</v>
      </c>
      <c r="H226" s="23"/>
    </row>
    <row r="227" spans="1:10">
      <c r="A227" s="48" t="s">
        <v>410</v>
      </c>
      <c r="B227" s="48"/>
      <c r="C227" s="19">
        <v>1</v>
      </c>
      <c r="D227" s="19">
        <v>0.6</v>
      </c>
      <c r="E227" s="20" t="s">
        <v>412</v>
      </c>
      <c r="F227" s="21">
        <f t="shared" si="16"/>
        <v>0.18</v>
      </c>
      <c r="G227" s="22">
        <f t="shared" si="17"/>
        <v>180000000</v>
      </c>
      <c r="H227" s="23"/>
    </row>
    <row r="228" spans="1:10">
      <c r="A228" s="46" t="s">
        <v>417</v>
      </c>
      <c r="B228" s="46"/>
      <c r="C228" s="16"/>
      <c r="D228" s="16"/>
      <c r="E228" s="16"/>
      <c r="F228" s="26">
        <f>SUM(F205:F227)</f>
        <v>63.840499999999984</v>
      </c>
      <c r="G228" s="27">
        <f>SUM(G205:G227)</f>
        <v>63840500000</v>
      </c>
    </row>
    <row r="230" spans="1:10">
      <c r="A230" s="9" t="s">
        <v>448</v>
      </c>
      <c r="B230" s="9" t="s">
        <v>433</v>
      </c>
      <c r="C230" s="10"/>
      <c r="D230" s="10"/>
    </row>
    <row r="231" spans="1:10">
      <c r="A231" s="13" t="s">
        <v>34</v>
      </c>
      <c r="B231" s="14">
        <v>40998</v>
      </c>
      <c r="C231" s="44" t="s">
        <v>413</v>
      </c>
      <c r="D231" s="44"/>
      <c r="E231" s="44" t="s">
        <v>32</v>
      </c>
      <c r="F231" s="15" t="s">
        <v>421</v>
      </c>
      <c r="G231" s="15" t="s">
        <v>421</v>
      </c>
    </row>
    <row r="232" spans="1:10" ht="15" customHeight="1">
      <c r="A232" s="47" t="s">
        <v>33</v>
      </c>
      <c r="B232" s="47"/>
      <c r="C232" s="16" t="s">
        <v>414</v>
      </c>
      <c r="D232" s="16" t="s">
        <v>415</v>
      </c>
      <c r="E232" s="44"/>
      <c r="F232" s="17" t="s">
        <v>423</v>
      </c>
      <c r="G232" s="17" t="s">
        <v>422</v>
      </c>
      <c r="H232" s="18"/>
      <c r="I232" s="18"/>
      <c r="J232" s="18"/>
    </row>
    <row r="233" spans="1:10">
      <c r="A233" s="49" t="s">
        <v>105</v>
      </c>
      <c r="B233" s="49"/>
      <c r="C233" s="19">
        <v>4.0999999999999996</v>
      </c>
      <c r="D233" s="19">
        <v>2.8</v>
      </c>
      <c r="E233" s="20" t="s">
        <v>106</v>
      </c>
      <c r="F233" s="21">
        <f>C233*D233*D233/2</f>
        <v>16.071999999999996</v>
      </c>
      <c r="G233" s="22">
        <f>F233*10^9</f>
        <v>16071999999.999996</v>
      </c>
      <c r="H233" s="23"/>
    </row>
    <row r="234" spans="1:10">
      <c r="A234" s="49" t="s">
        <v>107</v>
      </c>
      <c r="B234" s="49"/>
      <c r="C234" s="19">
        <v>2.2000000000000002</v>
      </c>
      <c r="D234" s="19">
        <v>1.5</v>
      </c>
      <c r="E234" s="20" t="s">
        <v>106</v>
      </c>
      <c r="F234" s="21">
        <f>C234*D234*D234/2</f>
        <v>2.4750000000000001</v>
      </c>
      <c r="G234" s="22">
        <f t="shared" ref="G234:G238" si="18">F234*10^9</f>
        <v>2475000000</v>
      </c>
      <c r="H234" s="23"/>
    </row>
    <row r="235" spans="1:10">
      <c r="A235" s="49" t="s">
        <v>108</v>
      </c>
      <c r="B235" s="49"/>
      <c r="C235" s="19">
        <v>4.0999999999999996</v>
      </c>
      <c r="D235" s="19">
        <v>3.6</v>
      </c>
      <c r="E235" s="20" t="s">
        <v>109</v>
      </c>
      <c r="F235" s="21">
        <f>C235*D235*D235/2</f>
        <v>26.568000000000001</v>
      </c>
      <c r="G235" s="22">
        <f t="shared" si="18"/>
        <v>26568000000</v>
      </c>
      <c r="H235" s="23"/>
    </row>
    <row r="236" spans="1:10">
      <c r="A236" s="49" t="s">
        <v>110</v>
      </c>
      <c r="B236" s="49"/>
      <c r="C236" s="19">
        <v>2</v>
      </c>
      <c r="D236" s="19">
        <v>1</v>
      </c>
      <c r="E236" s="20" t="s">
        <v>111</v>
      </c>
      <c r="F236" s="21">
        <f>C236*D236*D236/2</f>
        <v>1</v>
      </c>
      <c r="G236" s="22">
        <f t="shared" si="18"/>
        <v>1000000000</v>
      </c>
      <c r="H236" s="23"/>
    </row>
    <row r="237" spans="1:10">
      <c r="A237" s="49" t="s">
        <v>112</v>
      </c>
      <c r="B237" s="49"/>
      <c r="C237" s="19">
        <v>4.0999999999999996</v>
      </c>
      <c r="D237" s="19">
        <v>2.1</v>
      </c>
      <c r="E237" s="20" t="s">
        <v>113</v>
      </c>
      <c r="F237" s="21">
        <f>C237*D237*D237/2</f>
        <v>9.0404999999999998</v>
      </c>
      <c r="G237" s="22">
        <f t="shared" si="18"/>
        <v>9040500000</v>
      </c>
      <c r="H237" s="23"/>
    </row>
    <row r="238" spans="1:10">
      <c r="A238" s="46" t="s">
        <v>417</v>
      </c>
      <c r="B238" s="46"/>
      <c r="C238" s="16"/>
      <c r="D238" s="16"/>
      <c r="E238" s="16"/>
      <c r="F238" s="26">
        <f>SUM(F233:F237)</f>
        <v>55.155499999999996</v>
      </c>
      <c r="G238" s="27">
        <f t="shared" si="18"/>
        <v>55155500000</v>
      </c>
    </row>
    <row r="241" spans="1:10">
      <c r="A241" s="9" t="s">
        <v>448</v>
      </c>
      <c r="B241" s="9" t="s">
        <v>434</v>
      </c>
      <c r="C241" s="10"/>
      <c r="D241" s="10"/>
    </row>
    <row r="242" spans="1:10" ht="15" customHeight="1">
      <c r="A242" s="13" t="s">
        <v>34</v>
      </c>
      <c r="B242" s="14">
        <v>39979</v>
      </c>
      <c r="C242" s="51" t="s">
        <v>413</v>
      </c>
      <c r="D242" s="52"/>
      <c r="E242" s="53" t="s">
        <v>32</v>
      </c>
      <c r="F242" s="15" t="s">
        <v>421</v>
      </c>
      <c r="G242" s="15" t="s">
        <v>421</v>
      </c>
    </row>
    <row r="243" spans="1:10" ht="15" customHeight="1">
      <c r="A243" s="57" t="s">
        <v>33</v>
      </c>
      <c r="B243" s="58"/>
      <c r="C243" s="16" t="s">
        <v>414</v>
      </c>
      <c r="D243" s="16" t="s">
        <v>415</v>
      </c>
      <c r="E243" s="54"/>
      <c r="F243" s="17" t="s">
        <v>423</v>
      </c>
      <c r="G243" s="17" t="s">
        <v>422</v>
      </c>
      <c r="H243" s="18"/>
      <c r="I243" s="18"/>
      <c r="J243" s="18"/>
    </row>
    <row r="244" spans="1:10">
      <c r="A244" s="55" t="s">
        <v>35</v>
      </c>
      <c r="B244" s="56"/>
      <c r="C244" s="19">
        <v>1.7</v>
      </c>
      <c r="D244" s="19">
        <v>1.7</v>
      </c>
      <c r="E244" s="24" t="s">
        <v>36</v>
      </c>
      <c r="F244" s="21">
        <f>C244*D244*D244/2</f>
        <v>2.4564999999999997</v>
      </c>
      <c r="G244" s="29">
        <f>F244*10^9</f>
        <v>2456499999.9999995</v>
      </c>
      <c r="H244" s="30"/>
    </row>
    <row r="245" spans="1:10">
      <c r="A245" s="55" t="s">
        <v>37</v>
      </c>
      <c r="B245" s="56"/>
      <c r="C245" s="19">
        <v>1.5</v>
      </c>
      <c r="D245" s="19">
        <v>1.5</v>
      </c>
      <c r="E245" s="24" t="s">
        <v>38</v>
      </c>
      <c r="F245" s="21">
        <f t="shared" ref="F245:F257" si="19">C245*D245*D245/2</f>
        <v>1.6875</v>
      </c>
      <c r="G245" s="29">
        <f t="shared" ref="G245:G258" si="20">F245*10^9</f>
        <v>1687500000</v>
      </c>
      <c r="H245" s="30"/>
    </row>
    <row r="246" spans="1:10">
      <c r="A246" s="55" t="s">
        <v>39</v>
      </c>
      <c r="B246" s="56"/>
      <c r="C246" s="19">
        <v>1.7</v>
      </c>
      <c r="D246" s="19">
        <v>1.5</v>
      </c>
      <c r="E246" s="24" t="s">
        <v>40</v>
      </c>
      <c r="F246" s="21">
        <f t="shared" si="19"/>
        <v>1.9124999999999999</v>
      </c>
      <c r="G246" s="29">
        <f t="shared" si="20"/>
        <v>1912499999.9999998</v>
      </c>
      <c r="H246" s="30"/>
    </row>
    <row r="247" spans="1:10">
      <c r="A247" s="55" t="s">
        <v>41</v>
      </c>
      <c r="B247" s="56"/>
      <c r="C247" s="19">
        <v>1.5</v>
      </c>
      <c r="D247" s="19">
        <v>1.3</v>
      </c>
      <c r="E247" s="20" t="s">
        <v>42</v>
      </c>
      <c r="F247" s="21">
        <f t="shared" si="19"/>
        <v>1.2675000000000001</v>
      </c>
      <c r="G247" s="29">
        <f t="shared" si="20"/>
        <v>1267500000</v>
      </c>
      <c r="H247" s="30"/>
    </row>
    <row r="248" spans="1:10">
      <c r="A248" s="55" t="s">
        <v>43</v>
      </c>
      <c r="B248" s="56"/>
      <c r="C248" s="19">
        <v>2.9</v>
      </c>
      <c r="D248" s="19">
        <v>1.8</v>
      </c>
      <c r="E248" s="20" t="s">
        <v>42</v>
      </c>
      <c r="F248" s="21">
        <f t="shared" si="19"/>
        <v>4.6979999999999995</v>
      </c>
      <c r="G248" s="29">
        <f t="shared" si="20"/>
        <v>4697999999.999999</v>
      </c>
      <c r="H248" s="30"/>
    </row>
    <row r="249" spans="1:10">
      <c r="A249" s="55" t="s">
        <v>44</v>
      </c>
      <c r="B249" s="56"/>
      <c r="C249" s="19">
        <v>5.0999999999999996</v>
      </c>
      <c r="D249" s="19">
        <v>3.8</v>
      </c>
      <c r="E249" s="20" t="s">
        <v>45</v>
      </c>
      <c r="F249" s="21">
        <f t="shared" si="19"/>
        <v>36.821999999999996</v>
      </c>
      <c r="G249" s="29">
        <f t="shared" si="20"/>
        <v>36821999999.999992</v>
      </c>
      <c r="H249" s="30"/>
    </row>
    <row r="250" spans="1:10">
      <c r="A250" s="55" t="s">
        <v>46</v>
      </c>
      <c r="B250" s="56"/>
      <c r="C250" s="19">
        <v>1.5</v>
      </c>
      <c r="D250" s="19">
        <v>1.2</v>
      </c>
      <c r="E250" s="20" t="s">
        <v>47</v>
      </c>
      <c r="F250" s="21">
        <f t="shared" si="19"/>
        <v>1.0799999999999998</v>
      </c>
      <c r="G250" s="29">
        <f t="shared" si="20"/>
        <v>1079999999.9999998</v>
      </c>
      <c r="H250" s="30"/>
    </row>
    <row r="251" spans="1:10">
      <c r="A251" s="48" t="s">
        <v>46</v>
      </c>
      <c r="B251" s="48"/>
      <c r="C251" s="19">
        <v>1</v>
      </c>
      <c r="D251" s="19">
        <v>0.8</v>
      </c>
      <c r="E251" s="20" t="s">
        <v>48</v>
      </c>
      <c r="F251" s="21">
        <f t="shared" si="19"/>
        <v>0.32000000000000006</v>
      </c>
      <c r="G251" s="29">
        <f t="shared" si="20"/>
        <v>320000000.00000006</v>
      </c>
      <c r="H251" s="30"/>
    </row>
    <row r="252" spans="1:10">
      <c r="A252" s="48" t="s">
        <v>46</v>
      </c>
      <c r="B252" s="48"/>
      <c r="C252" s="19">
        <v>0.7</v>
      </c>
      <c r="D252" s="19">
        <v>0.7</v>
      </c>
      <c r="E252" s="20" t="s">
        <v>49</v>
      </c>
      <c r="F252" s="21">
        <f t="shared" si="19"/>
        <v>0.17149999999999996</v>
      </c>
      <c r="G252" s="29">
        <f t="shared" si="20"/>
        <v>171499999.99999997</v>
      </c>
      <c r="H252" s="30"/>
    </row>
    <row r="253" spans="1:10">
      <c r="A253" s="48" t="s">
        <v>46</v>
      </c>
      <c r="B253" s="48"/>
      <c r="C253" s="19">
        <v>1.1000000000000001</v>
      </c>
      <c r="D253" s="19">
        <v>0.8</v>
      </c>
      <c r="E253" s="20" t="s">
        <v>50</v>
      </c>
      <c r="F253" s="21">
        <f t="shared" si="19"/>
        <v>0.35200000000000009</v>
      </c>
      <c r="G253" s="29">
        <f t="shared" si="20"/>
        <v>352000000.00000012</v>
      </c>
      <c r="H253" s="30"/>
    </row>
    <row r="254" spans="1:10">
      <c r="A254" s="48" t="s">
        <v>51</v>
      </c>
      <c r="B254" s="45"/>
      <c r="C254" s="19">
        <v>0.7</v>
      </c>
      <c r="D254" s="19">
        <v>0.5</v>
      </c>
      <c r="E254" s="20" t="s">
        <v>52</v>
      </c>
      <c r="F254" s="21">
        <f t="shared" si="19"/>
        <v>8.7499999999999994E-2</v>
      </c>
      <c r="G254" s="29">
        <f t="shared" si="20"/>
        <v>87500000</v>
      </c>
      <c r="H254" s="30"/>
    </row>
    <row r="255" spans="1:10">
      <c r="A255" s="48" t="s">
        <v>51</v>
      </c>
      <c r="B255" s="45"/>
      <c r="C255" s="19">
        <v>0.6</v>
      </c>
      <c r="D255" s="19">
        <v>0.5</v>
      </c>
      <c r="E255" s="20" t="s">
        <v>53</v>
      </c>
      <c r="F255" s="21">
        <f t="shared" si="19"/>
        <v>7.4999999999999997E-2</v>
      </c>
      <c r="G255" s="29">
        <f t="shared" si="20"/>
        <v>75000000</v>
      </c>
      <c r="H255" s="30"/>
    </row>
    <row r="256" spans="1:10">
      <c r="A256" s="48" t="s">
        <v>54</v>
      </c>
      <c r="B256" s="48"/>
      <c r="C256" s="19">
        <v>1.5</v>
      </c>
      <c r="D256" s="19">
        <v>1</v>
      </c>
      <c r="E256" s="20" t="s">
        <v>55</v>
      </c>
      <c r="F256" s="21">
        <f t="shared" si="19"/>
        <v>0.75</v>
      </c>
      <c r="G256" s="29">
        <f t="shared" si="20"/>
        <v>750000000</v>
      </c>
      <c r="H256" s="30"/>
    </row>
    <row r="257" spans="1:10">
      <c r="A257" s="48" t="s">
        <v>56</v>
      </c>
      <c r="B257" s="48"/>
      <c r="C257" s="19">
        <v>1.8</v>
      </c>
      <c r="D257" s="19">
        <v>1.5</v>
      </c>
      <c r="E257" s="20" t="s">
        <v>57</v>
      </c>
      <c r="F257" s="21">
        <f t="shared" si="19"/>
        <v>2.0250000000000004</v>
      </c>
      <c r="G257" s="29">
        <f t="shared" si="20"/>
        <v>2025000000.0000002</v>
      </c>
      <c r="H257" s="30"/>
    </row>
    <row r="258" spans="1:10">
      <c r="A258" s="46" t="s">
        <v>417</v>
      </c>
      <c r="B258" s="46"/>
      <c r="C258" s="16"/>
      <c r="D258" s="16"/>
      <c r="E258" s="16"/>
      <c r="F258" s="26">
        <f>SUM(F244:F257)</f>
        <v>53.704999999999991</v>
      </c>
      <c r="G258" s="27">
        <f t="shared" si="20"/>
        <v>53704999999.999992</v>
      </c>
    </row>
    <row r="260" spans="1:10">
      <c r="A260" s="9" t="s">
        <v>448</v>
      </c>
      <c r="B260" s="9" t="s">
        <v>435</v>
      </c>
      <c r="C260" s="10"/>
      <c r="D260" s="10"/>
    </row>
    <row r="261" spans="1:10">
      <c r="A261" s="13" t="s">
        <v>34</v>
      </c>
      <c r="B261" s="14">
        <v>40469</v>
      </c>
      <c r="C261" s="44" t="s">
        <v>413</v>
      </c>
      <c r="D261" s="44"/>
      <c r="E261" s="44" t="s">
        <v>32</v>
      </c>
      <c r="F261" s="15" t="s">
        <v>421</v>
      </c>
      <c r="G261" s="15" t="s">
        <v>421</v>
      </c>
    </row>
    <row r="262" spans="1:10" ht="15.75" customHeight="1">
      <c r="A262" s="47" t="s">
        <v>33</v>
      </c>
      <c r="B262" s="47"/>
      <c r="C262" s="16" t="s">
        <v>414</v>
      </c>
      <c r="D262" s="16" t="s">
        <v>415</v>
      </c>
      <c r="E262" s="44"/>
      <c r="F262" s="17" t="s">
        <v>423</v>
      </c>
      <c r="G262" s="17" t="s">
        <v>422</v>
      </c>
      <c r="H262" s="18"/>
      <c r="I262" s="18"/>
      <c r="J262" s="18"/>
    </row>
    <row r="263" spans="1:10">
      <c r="A263" s="48" t="s">
        <v>166</v>
      </c>
      <c r="B263" s="48"/>
      <c r="C263" s="19">
        <v>0.5</v>
      </c>
      <c r="D263" s="19">
        <v>0.5</v>
      </c>
      <c r="E263" s="24" t="s">
        <v>167</v>
      </c>
      <c r="F263" s="21">
        <f t="shared" ref="F263:F285" si="21">C263*D263*D263/2</f>
        <v>6.25E-2</v>
      </c>
      <c r="G263" s="22">
        <f>F263*10^9</f>
        <v>62500000</v>
      </c>
      <c r="H263" s="23"/>
    </row>
    <row r="264" spans="1:10">
      <c r="A264" s="48" t="s">
        <v>168</v>
      </c>
      <c r="B264" s="48"/>
      <c r="C264" s="19">
        <v>2.9</v>
      </c>
      <c r="D264" s="19">
        <v>2.2999999999999998</v>
      </c>
      <c r="E264" s="24" t="s">
        <v>169</v>
      </c>
      <c r="F264" s="21">
        <f t="shared" si="21"/>
        <v>7.6704999999999979</v>
      </c>
      <c r="G264" s="22">
        <f t="shared" ref="G264:G286" si="22">F264*10^9</f>
        <v>7670499999.9999981</v>
      </c>
      <c r="H264" s="23"/>
    </row>
    <row r="265" spans="1:10">
      <c r="A265" s="48" t="s">
        <v>168</v>
      </c>
      <c r="B265" s="48"/>
      <c r="C265" s="19">
        <v>1.5</v>
      </c>
      <c r="D265" s="19">
        <v>0.9</v>
      </c>
      <c r="E265" s="24" t="s">
        <v>170</v>
      </c>
      <c r="F265" s="21">
        <f t="shared" si="21"/>
        <v>0.60750000000000004</v>
      </c>
      <c r="G265" s="22">
        <f t="shared" si="22"/>
        <v>607500000</v>
      </c>
      <c r="H265" s="23"/>
    </row>
    <row r="266" spans="1:10">
      <c r="A266" s="48" t="s">
        <v>171</v>
      </c>
      <c r="B266" s="48"/>
      <c r="C266" s="19">
        <v>1.7</v>
      </c>
      <c r="D266" s="19">
        <v>1.6</v>
      </c>
      <c r="E266" s="20" t="s">
        <v>170</v>
      </c>
      <c r="F266" s="21">
        <f t="shared" si="21"/>
        <v>2.1760000000000002</v>
      </c>
      <c r="G266" s="22">
        <f t="shared" si="22"/>
        <v>2176000000</v>
      </c>
      <c r="H266" s="23"/>
    </row>
    <row r="267" spans="1:10">
      <c r="A267" s="48" t="s">
        <v>172</v>
      </c>
      <c r="B267" s="48"/>
      <c r="C267" s="19">
        <v>2</v>
      </c>
      <c r="D267" s="19">
        <v>1.7</v>
      </c>
      <c r="E267" s="20" t="s">
        <v>173</v>
      </c>
      <c r="F267" s="21">
        <f t="shared" si="21"/>
        <v>2.8899999999999997</v>
      </c>
      <c r="G267" s="22">
        <f t="shared" si="22"/>
        <v>2889999999.9999995</v>
      </c>
      <c r="H267" s="23"/>
    </row>
    <row r="268" spans="1:10">
      <c r="A268" s="48" t="s">
        <v>174</v>
      </c>
      <c r="B268" s="48"/>
      <c r="C268" s="19">
        <v>2.6</v>
      </c>
      <c r="D268" s="19">
        <v>2.5</v>
      </c>
      <c r="E268" s="20" t="s">
        <v>175</v>
      </c>
      <c r="F268" s="21">
        <f t="shared" si="21"/>
        <v>8.125</v>
      </c>
      <c r="G268" s="22">
        <f t="shared" si="22"/>
        <v>8125000000</v>
      </c>
      <c r="H268" s="23"/>
    </row>
    <row r="269" spans="1:10">
      <c r="A269" s="48" t="s">
        <v>176</v>
      </c>
      <c r="B269" s="48"/>
      <c r="C269" s="19">
        <v>1.1000000000000001</v>
      </c>
      <c r="D269" s="19">
        <v>1</v>
      </c>
      <c r="E269" s="20" t="s">
        <v>177</v>
      </c>
      <c r="F269" s="21">
        <f t="shared" si="21"/>
        <v>0.55000000000000004</v>
      </c>
      <c r="G269" s="22">
        <f t="shared" si="22"/>
        <v>550000000</v>
      </c>
      <c r="H269" s="23"/>
    </row>
    <row r="270" spans="1:10">
      <c r="A270" s="48" t="s">
        <v>178</v>
      </c>
      <c r="B270" s="48"/>
      <c r="C270" s="19">
        <v>0.9</v>
      </c>
      <c r="D270" s="19">
        <v>0.7</v>
      </c>
      <c r="E270" s="20" t="s">
        <v>177</v>
      </c>
      <c r="F270" s="21">
        <f t="shared" si="21"/>
        <v>0.22049999999999997</v>
      </c>
      <c r="G270" s="22">
        <f t="shared" si="22"/>
        <v>220499999.99999997</v>
      </c>
      <c r="H270" s="23"/>
    </row>
    <row r="271" spans="1:10">
      <c r="A271" s="48" t="s">
        <v>179</v>
      </c>
      <c r="B271" s="48"/>
      <c r="C271" s="19">
        <v>1.5</v>
      </c>
      <c r="D271" s="19">
        <v>1.4</v>
      </c>
      <c r="E271" s="20" t="s">
        <v>180</v>
      </c>
      <c r="F271" s="21">
        <f t="shared" si="21"/>
        <v>1.4699999999999998</v>
      </c>
      <c r="G271" s="22">
        <f t="shared" si="22"/>
        <v>1469999999.9999998</v>
      </c>
      <c r="H271" s="23"/>
    </row>
    <row r="272" spans="1:10">
      <c r="A272" s="48" t="s">
        <v>181</v>
      </c>
      <c r="B272" s="48"/>
      <c r="C272" s="19">
        <v>4.0999999999999996</v>
      </c>
      <c r="D272" s="19">
        <v>3.2</v>
      </c>
      <c r="E272" s="20" t="s">
        <v>182</v>
      </c>
      <c r="F272" s="21">
        <f t="shared" si="21"/>
        <v>20.992000000000001</v>
      </c>
      <c r="G272" s="22">
        <f t="shared" si="22"/>
        <v>20992000000</v>
      </c>
      <c r="H272" s="23"/>
    </row>
    <row r="273" spans="1:8">
      <c r="A273" s="48" t="s">
        <v>51</v>
      </c>
      <c r="B273" s="45"/>
      <c r="C273" s="19">
        <v>0.7</v>
      </c>
      <c r="D273" s="19">
        <v>0.5</v>
      </c>
      <c r="E273" s="20" t="s">
        <v>183</v>
      </c>
      <c r="F273" s="21">
        <f t="shared" si="21"/>
        <v>8.7499999999999994E-2</v>
      </c>
      <c r="G273" s="22">
        <f t="shared" si="22"/>
        <v>87500000</v>
      </c>
      <c r="H273" s="23"/>
    </row>
    <row r="274" spans="1:8">
      <c r="A274" s="48" t="s">
        <v>51</v>
      </c>
      <c r="B274" s="45"/>
      <c r="C274" s="19">
        <v>0.9</v>
      </c>
      <c r="D274" s="19">
        <v>0.6</v>
      </c>
      <c r="E274" s="20" t="s">
        <v>184</v>
      </c>
      <c r="F274" s="21">
        <f t="shared" si="21"/>
        <v>0.16200000000000001</v>
      </c>
      <c r="G274" s="22">
        <f t="shared" si="22"/>
        <v>162000000</v>
      </c>
      <c r="H274" s="23"/>
    </row>
    <row r="275" spans="1:8">
      <c r="A275" s="48" t="s">
        <v>185</v>
      </c>
      <c r="B275" s="48"/>
      <c r="C275" s="19">
        <v>0.7</v>
      </c>
      <c r="D275" s="19">
        <v>0.6</v>
      </c>
      <c r="E275" s="20" t="s">
        <v>186</v>
      </c>
      <c r="F275" s="21">
        <f t="shared" si="21"/>
        <v>0.126</v>
      </c>
      <c r="G275" s="22">
        <f t="shared" si="22"/>
        <v>126000000</v>
      </c>
      <c r="H275" s="23"/>
    </row>
    <row r="276" spans="1:8">
      <c r="A276" s="48" t="s">
        <v>51</v>
      </c>
      <c r="B276" s="48"/>
      <c r="C276" s="19">
        <v>1.1000000000000001</v>
      </c>
      <c r="D276" s="19">
        <v>1</v>
      </c>
      <c r="E276" s="20" t="s">
        <v>187</v>
      </c>
      <c r="F276" s="21">
        <f t="shared" si="21"/>
        <v>0.55000000000000004</v>
      </c>
      <c r="G276" s="22">
        <f t="shared" si="22"/>
        <v>550000000</v>
      </c>
      <c r="H276" s="23"/>
    </row>
    <row r="277" spans="1:8">
      <c r="A277" s="48" t="s">
        <v>51</v>
      </c>
      <c r="B277" s="45"/>
      <c r="C277" s="19">
        <v>1.1000000000000001</v>
      </c>
      <c r="D277" s="19">
        <v>0.7</v>
      </c>
      <c r="E277" s="20" t="s">
        <v>188</v>
      </c>
      <c r="F277" s="21">
        <f t="shared" si="21"/>
        <v>0.26949999999999996</v>
      </c>
      <c r="G277" s="22">
        <f t="shared" si="22"/>
        <v>269499999.99999994</v>
      </c>
      <c r="H277" s="23"/>
    </row>
    <row r="278" spans="1:8">
      <c r="A278" s="48" t="s">
        <v>51</v>
      </c>
      <c r="B278" s="45"/>
      <c r="C278" s="19">
        <v>2</v>
      </c>
      <c r="D278" s="19">
        <v>1.2</v>
      </c>
      <c r="E278" s="20" t="s">
        <v>189</v>
      </c>
      <c r="F278" s="21">
        <f t="shared" si="21"/>
        <v>1.44</v>
      </c>
      <c r="G278" s="22">
        <f t="shared" si="22"/>
        <v>1440000000</v>
      </c>
      <c r="H278" s="23"/>
    </row>
    <row r="279" spans="1:8">
      <c r="A279" s="48" t="s">
        <v>51</v>
      </c>
      <c r="B279" s="45"/>
      <c r="C279" s="19">
        <v>1</v>
      </c>
      <c r="D279" s="19">
        <v>0.7</v>
      </c>
      <c r="E279" s="20" t="s">
        <v>190</v>
      </c>
      <c r="F279" s="21">
        <f t="shared" si="21"/>
        <v>0.24499999999999997</v>
      </c>
      <c r="G279" s="22">
        <f t="shared" si="22"/>
        <v>244999999.99999997</v>
      </c>
      <c r="H279" s="23"/>
    </row>
    <row r="280" spans="1:8">
      <c r="A280" s="48" t="s">
        <v>51</v>
      </c>
      <c r="B280" s="45"/>
      <c r="C280" s="19">
        <v>0.6</v>
      </c>
      <c r="D280" s="19">
        <v>0.6</v>
      </c>
      <c r="E280" s="20" t="s">
        <v>191</v>
      </c>
      <c r="F280" s="21">
        <f t="shared" si="21"/>
        <v>0.108</v>
      </c>
      <c r="G280" s="22">
        <f t="shared" si="22"/>
        <v>108000000</v>
      </c>
      <c r="H280" s="23"/>
    </row>
    <row r="281" spans="1:8">
      <c r="A281" s="48" t="s">
        <v>51</v>
      </c>
      <c r="B281" s="45"/>
      <c r="C281" s="19">
        <v>0.7</v>
      </c>
      <c r="D281" s="19">
        <v>0.5</v>
      </c>
      <c r="E281" s="20" t="s">
        <v>191</v>
      </c>
      <c r="F281" s="21">
        <f t="shared" si="21"/>
        <v>8.7499999999999994E-2</v>
      </c>
      <c r="G281" s="22">
        <f t="shared" si="22"/>
        <v>87500000</v>
      </c>
      <c r="H281" s="23"/>
    </row>
    <row r="282" spans="1:8">
      <c r="A282" s="48" t="s">
        <v>51</v>
      </c>
      <c r="B282" s="48"/>
      <c r="C282" s="19">
        <v>0.5</v>
      </c>
      <c r="D282" s="19">
        <v>0.5</v>
      </c>
      <c r="E282" s="20" t="s">
        <v>192</v>
      </c>
      <c r="F282" s="21">
        <f t="shared" si="21"/>
        <v>6.25E-2</v>
      </c>
      <c r="G282" s="22">
        <f t="shared" si="22"/>
        <v>62500000</v>
      </c>
      <c r="H282" s="23"/>
    </row>
    <row r="283" spans="1:8">
      <c r="A283" s="48" t="s">
        <v>51</v>
      </c>
      <c r="B283" s="48"/>
      <c r="C283" s="19">
        <v>0.6</v>
      </c>
      <c r="D283" s="19">
        <v>0.5</v>
      </c>
      <c r="E283" s="20" t="s">
        <v>193</v>
      </c>
      <c r="F283" s="21">
        <f t="shared" si="21"/>
        <v>7.4999999999999997E-2</v>
      </c>
      <c r="G283" s="22">
        <f t="shared" si="22"/>
        <v>75000000</v>
      </c>
      <c r="H283" s="23"/>
    </row>
    <row r="284" spans="1:8">
      <c r="A284" s="48" t="s">
        <v>51</v>
      </c>
      <c r="B284" s="48"/>
      <c r="C284" s="19">
        <v>1</v>
      </c>
      <c r="D284" s="19">
        <v>0.9</v>
      </c>
      <c r="E284" s="20" t="s">
        <v>194</v>
      </c>
      <c r="F284" s="21">
        <f t="shared" si="21"/>
        <v>0.40500000000000003</v>
      </c>
      <c r="G284" s="22">
        <f t="shared" si="22"/>
        <v>405000000</v>
      </c>
      <c r="H284" s="23"/>
    </row>
    <row r="285" spans="1:8">
      <c r="A285" s="48" t="s">
        <v>51</v>
      </c>
      <c r="B285" s="48"/>
      <c r="C285" s="19">
        <v>0.5</v>
      </c>
      <c r="D285" s="19">
        <v>0.5</v>
      </c>
      <c r="E285" s="20" t="s">
        <v>195</v>
      </c>
      <c r="F285" s="21">
        <f t="shared" si="21"/>
        <v>6.25E-2</v>
      </c>
      <c r="G285" s="22">
        <f t="shared" si="22"/>
        <v>62500000</v>
      </c>
      <c r="H285" s="23"/>
    </row>
    <row r="286" spans="1:8">
      <c r="A286" s="46" t="s">
        <v>417</v>
      </c>
      <c r="B286" s="46"/>
      <c r="C286" s="16"/>
      <c r="D286" s="16"/>
      <c r="E286" s="16"/>
      <c r="F286" s="26">
        <f>SUM(F263:F285)</f>
        <v>48.444499999999984</v>
      </c>
      <c r="G286" s="27">
        <f t="shared" si="22"/>
        <v>48444499999.999985</v>
      </c>
    </row>
    <row r="288" spans="1:8">
      <c r="A288" s="31" t="s">
        <v>448</v>
      </c>
      <c r="B288" s="31" t="s">
        <v>436</v>
      </c>
    </row>
    <row r="289" spans="1:10">
      <c r="A289" s="13" t="s">
        <v>34</v>
      </c>
      <c r="B289" s="32">
        <v>40687</v>
      </c>
      <c r="C289" s="44" t="s">
        <v>413</v>
      </c>
      <c r="D289" s="44"/>
      <c r="E289" s="44" t="s">
        <v>32</v>
      </c>
      <c r="F289" s="15" t="s">
        <v>421</v>
      </c>
      <c r="G289" s="15" t="s">
        <v>421</v>
      </c>
    </row>
    <row r="290" spans="1:10" ht="15" customHeight="1">
      <c r="A290" s="47" t="s">
        <v>33</v>
      </c>
      <c r="B290" s="47"/>
      <c r="C290" s="16" t="s">
        <v>414</v>
      </c>
      <c r="D290" s="16" t="s">
        <v>415</v>
      </c>
      <c r="E290" s="44"/>
      <c r="F290" s="17" t="s">
        <v>423</v>
      </c>
      <c r="G290" s="17" t="s">
        <v>422</v>
      </c>
    </row>
    <row r="291" spans="1:10">
      <c r="A291" s="45" t="s">
        <v>153</v>
      </c>
      <c r="B291" s="45"/>
      <c r="C291" s="19">
        <v>2.8</v>
      </c>
      <c r="D291" s="19">
        <v>1.6</v>
      </c>
      <c r="E291" s="19" t="s">
        <v>154</v>
      </c>
      <c r="F291" s="21">
        <v>3.5840000000000001</v>
      </c>
      <c r="G291" s="22">
        <v>3580000000</v>
      </c>
      <c r="H291" s="23"/>
    </row>
    <row r="292" spans="1:10">
      <c r="A292" s="45" t="s">
        <v>153</v>
      </c>
      <c r="B292" s="45"/>
      <c r="C292" s="19">
        <v>3.1</v>
      </c>
      <c r="D292" s="19">
        <v>2.6</v>
      </c>
      <c r="E292" s="19" t="s">
        <v>155</v>
      </c>
      <c r="F292" s="21">
        <v>10.478</v>
      </c>
      <c r="G292" s="22">
        <v>10500000000</v>
      </c>
      <c r="H292" s="23"/>
    </row>
    <row r="293" spans="1:10">
      <c r="A293" s="45" t="s">
        <v>156</v>
      </c>
      <c r="B293" s="45"/>
      <c r="C293" s="19">
        <v>0.9</v>
      </c>
      <c r="D293" s="19">
        <v>0.8</v>
      </c>
      <c r="E293" s="19" t="s">
        <v>157</v>
      </c>
      <c r="F293" s="21">
        <v>0.28799999999999998</v>
      </c>
      <c r="G293" s="22">
        <v>288000000</v>
      </c>
      <c r="H293" s="23"/>
    </row>
    <row r="294" spans="1:10">
      <c r="A294" s="45" t="s">
        <v>156</v>
      </c>
      <c r="B294" s="45"/>
      <c r="C294" s="19">
        <v>1.3</v>
      </c>
      <c r="D294" s="19">
        <v>1.2</v>
      </c>
      <c r="E294" s="19" t="s">
        <v>158</v>
      </c>
      <c r="F294" s="21">
        <v>0.93600000000000005</v>
      </c>
      <c r="G294" s="22">
        <v>936000000</v>
      </c>
      <c r="H294" s="23"/>
    </row>
    <row r="295" spans="1:10">
      <c r="A295" s="45" t="s">
        <v>159</v>
      </c>
      <c r="B295" s="45"/>
      <c r="C295" s="19">
        <v>2.1</v>
      </c>
      <c r="D295" s="19">
        <v>1.6</v>
      </c>
      <c r="E295" s="33" t="s">
        <v>416</v>
      </c>
      <c r="F295" s="21">
        <v>2.6880000000000002</v>
      </c>
      <c r="G295" s="22">
        <v>2690000000</v>
      </c>
      <c r="H295" s="23"/>
    </row>
    <row r="296" spans="1:10">
      <c r="A296" s="45" t="s">
        <v>160</v>
      </c>
      <c r="B296" s="45"/>
      <c r="C296" s="19">
        <v>2.2999999999999998</v>
      </c>
      <c r="D296" s="19">
        <v>2.1</v>
      </c>
      <c r="E296" s="19" t="s">
        <v>36</v>
      </c>
      <c r="F296" s="21">
        <v>5.0715000000000003</v>
      </c>
      <c r="G296" s="22">
        <v>5070000000</v>
      </c>
      <c r="H296" s="23"/>
    </row>
    <row r="297" spans="1:10">
      <c r="A297" s="45" t="s">
        <v>161</v>
      </c>
      <c r="B297" s="45"/>
      <c r="C297" s="19">
        <v>3</v>
      </c>
      <c r="D297" s="19">
        <v>2.1</v>
      </c>
      <c r="E297" s="19" t="s">
        <v>162</v>
      </c>
      <c r="F297" s="21">
        <v>6.6150000000000002</v>
      </c>
      <c r="G297" s="22">
        <v>6620000000</v>
      </c>
      <c r="H297" s="23"/>
    </row>
    <row r="298" spans="1:10">
      <c r="A298" s="45" t="s">
        <v>163</v>
      </c>
      <c r="B298" s="45"/>
      <c r="C298" s="19">
        <v>2.8</v>
      </c>
      <c r="D298" s="19">
        <v>2.4</v>
      </c>
      <c r="E298" s="19" t="s">
        <v>164</v>
      </c>
      <c r="F298" s="21">
        <v>8.0640000000000001</v>
      </c>
      <c r="G298" s="22">
        <v>8060000000</v>
      </c>
      <c r="H298" s="23"/>
    </row>
    <row r="299" spans="1:10">
      <c r="A299" s="45" t="s">
        <v>163</v>
      </c>
      <c r="B299" s="45"/>
      <c r="C299" s="19">
        <v>2.6</v>
      </c>
      <c r="D299" s="19">
        <v>1.6</v>
      </c>
      <c r="E299" s="19" t="s">
        <v>165</v>
      </c>
      <c r="F299" s="21">
        <v>3.3279999999999998</v>
      </c>
      <c r="G299" s="22">
        <v>3330000000</v>
      </c>
      <c r="H299" s="23"/>
    </row>
    <row r="300" spans="1:10">
      <c r="A300" s="46" t="s">
        <v>417</v>
      </c>
      <c r="B300" s="46"/>
      <c r="C300" s="16"/>
      <c r="D300" s="16"/>
      <c r="E300" s="16"/>
      <c r="F300" s="26">
        <f>SUM(F291:F299)</f>
        <v>41.052500000000002</v>
      </c>
      <c r="G300" s="27">
        <f t="shared" ref="G300" si="23">F300*10^9</f>
        <v>41052500000</v>
      </c>
    </row>
    <row r="302" spans="1:10">
      <c r="A302" s="9" t="s">
        <v>448</v>
      </c>
      <c r="B302" s="9" t="s">
        <v>437</v>
      </c>
      <c r="C302" s="10"/>
      <c r="D302" s="10"/>
    </row>
    <row r="303" spans="1:10">
      <c r="A303" s="13" t="s">
        <v>34</v>
      </c>
      <c r="B303" s="14">
        <v>40954</v>
      </c>
      <c r="C303" s="44" t="s">
        <v>413</v>
      </c>
      <c r="D303" s="44"/>
      <c r="E303" s="44" t="s">
        <v>32</v>
      </c>
      <c r="F303" s="15" t="s">
        <v>421</v>
      </c>
      <c r="G303" s="15" t="s">
        <v>421</v>
      </c>
    </row>
    <row r="304" spans="1:10" ht="15" customHeight="1">
      <c r="A304" s="47" t="s">
        <v>33</v>
      </c>
      <c r="B304" s="47"/>
      <c r="C304" s="16" t="s">
        <v>414</v>
      </c>
      <c r="D304" s="16" t="s">
        <v>415</v>
      </c>
      <c r="E304" s="44"/>
      <c r="F304" s="17" t="s">
        <v>423</v>
      </c>
      <c r="G304" s="17" t="s">
        <v>422</v>
      </c>
      <c r="H304" s="18"/>
      <c r="I304" s="18"/>
      <c r="J304" s="18"/>
    </row>
    <row r="305" spans="1:8">
      <c r="A305" s="48" t="s">
        <v>108</v>
      </c>
      <c r="B305" s="48"/>
      <c r="C305" s="19">
        <v>6.3</v>
      </c>
      <c r="D305" s="19">
        <v>2.9</v>
      </c>
      <c r="E305" s="20" t="s">
        <v>278</v>
      </c>
      <c r="F305" s="21">
        <f t="shared" ref="F305:F317" si="24">C305*D305*D305/2</f>
        <v>26.491499999999998</v>
      </c>
      <c r="G305" s="22">
        <f>F305*10^9</f>
        <v>26491500000</v>
      </c>
      <c r="H305" s="23"/>
    </row>
    <row r="306" spans="1:8">
      <c r="A306" s="48" t="s">
        <v>279</v>
      </c>
      <c r="B306" s="48"/>
      <c r="C306" s="19">
        <v>1.6</v>
      </c>
      <c r="D306" s="19">
        <v>0.7</v>
      </c>
      <c r="E306" s="24">
        <v>0.3125</v>
      </c>
      <c r="F306" s="21">
        <f t="shared" si="24"/>
        <v>0.39199999999999996</v>
      </c>
      <c r="G306" s="22">
        <f t="shared" ref="G306:G318" si="25">F306*10^9</f>
        <v>391999999.99999994</v>
      </c>
      <c r="H306" s="23"/>
    </row>
    <row r="307" spans="1:8">
      <c r="A307" s="48" t="s">
        <v>279</v>
      </c>
      <c r="B307" s="48"/>
      <c r="C307" s="19">
        <v>1.8</v>
      </c>
      <c r="D307" s="19">
        <v>0.9</v>
      </c>
      <c r="E307" s="24">
        <v>0.3125</v>
      </c>
      <c r="F307" s="21">
        <f t="shared" si="24"/>
        <v>0.72900000000000009</v>
      </c>
      <c r="G307" s="22">
        <f t="shared" si="25"/>
        <v>729000000.00000012</v>
      </c>
      <c r="H307" s="23"/>
    </row>
    <row r="308" spans="1:8">
      <c r="A308" s="48" t="s">
        <v>280</v>
      </c>
      <c r="B308" s="48"/>
      <c r="C308" s="19">
        <v>1.3</v>
      </c>
      <c r="D308" s="19">
        <v>1.3</v>
      </c>
      <c r="E308" s="24">
        <v>0.29583333333333334</v>
      </c>
      <c r="F308" s="21">
        <f t="shared" si="24"/>
        <v>1.0985000000000003</v>
      </c>
      <c r="G308" s="22">
        <f t="shared" si="25"/>
        <v>1098500000.0000002</v>
      </c>
      <c r="H308" s="23"/>
    </row>
    <row r="309" spans="1:8">
      <c r="A309" s="48" t="s">
        <v>281</v>
      </c>
      <c r="B309" s="48"/>
      <c r="C309" s="19">
        <v>1.1000000000000001</v>
      </c>
      <c r="D309" s="19">
        <v>1.1000000000000001</v>
      </c>
      <c r="E309" s="24">
        <v>0.30208333333333331</v>
      </c>
      <c r="F309" s="21">
        <f t="shared" si="24"/>
        <v>0.6655000000000002</v>
      </c>
      <c r="G309" s="22">
        <f t="shared" si="25"/>
        <v>665500000.00000024</v>
      </c>
      <c r="H309" s="23"/>
    </row>
    <row r="310" spans="1:8">
      <c r="A310" s="48" t="s">
        <v>282</v>
      </c>
      <c r="B310" s="48"/>
      <c r="C310" s="19">
        <v>1.3</v>
      </c>
      <c r="D310" s="19">
        <v>1.3</v>
      </c>
      <c r="E310" s="24">
        <v>0.3034722222222222</v>
      </c>
      <c r="F310" s="21">
        <f t="shared" si="24"/>
        <v>1.0985000000000003</v>
      </c>
      <c r="G310" s="22">
        <f t="shared" si="25"/>
        <v>1098500000.0000002</v>
      </c>
      <c r="H310" s="23"/>
    </row>
    <row r="311" spans="1:8">
      <c r="A311" s="48" t="s">
        <v>283</v>
      </c>
      <c r="B311" s="48"/>
      <c r="C311" s="19">
        <v>1.4</v>
      </c>
      <c r="D311" s="19">
        <v>1.3</v>
      </c>
      <c r="E311" s="24">
        <v>0.30416666666666664</v>
      </c>
      <c r="F311" s="21">
        <f t="shared" si="24"/>
        <v>1.1829999999999998</v>
      </c>
      <c r="G311" s="22">
        <f t="shared" si="25"/>
        <v>1182999999.9999998</v>
      </c>
      <c r="H311" s="23"/>
    </row>
    <row r="312" spans="1:8">
      <c r="A312" s="48" t="s">
        <v>282</v>
      </c>
      <c r="B312" s="48"/>
      <c r="C312" s="19">
        <v>1.1000000000000001</v>
      </c>
      <c r="D312" s="19">
        <v>0.8</v>
      </c>
      <c r="E312" s="24">
        <v>0.30902777777777779</v>
      </c>
      <c r="F312" s="21">
        <f t="shared" si="24"/>
        <v>0.35200000000000009</v>
      </c>
      <c r="G312" s="22">
        <f t="shared" si="25"/>
        <v>352000000.00000012</v>
      </c>
      <c r="H312" s="23"/>
    </row>
    <row r="313" spans="1:8">
      <c r="A313" s="48" t="s">
        <v>284</v>
      </c>
      <c r="B313" s="48"/>
      <c r="C313" s="19">
        <v>2.4</v>
      </c>
      <c r="D313" s="19">
        <v>1</v>
      </c>
      <c r="E313" s="24">
        <v>0.31111111111111112</v>
      </c>
      <c r="F313" s="21">
        <f t="shared" si="24"/>
        <v>1.2</v>
      </c>
      <c r="G313" s="22">
        <f t="shared" si="25"/>
        <v>1200000000</v>
      </c>
      <c r="H313" s="23"/>
    </row>
    <row r="314" spans="1:8">
      <c r="A314" s="34" t="s">
        <v>285</v>
      </c>
      <c r="B314" s="34"/>
      <c r="C314" s="19">
        <v>1.4</v>
      </c>
      <c r="D314" s="19">
        <v>1.4</v>
      </c>
      <c r="E314" s="24">
        <v>0.31180555555555556</v>
      </c>
      <c r="F314" s="21">
        <f t="shared" si="24"/>
        <v>1.3719999999999997</v>
      </c>
      <c r="G314" s="22">
        <f t="shared" si="25"/>
        <v>1371999999.9999998</v>
      </c>
      <c r="H314" s="23"/>
    </row>
    <row r="315" spans="1:8">
      <c r="A315" s="34" t="s">
        <v>285</v>
      </c>
      <c r="B315" s="34"/>
      <c r="C315" s="19">
        <v>2.1</v>
      </c>
      <c r="D315" s="19">
        <v>1.3</v>
      </c>
      <c r="E315" s="24">
        <v>0.31388888888888888</v>
      </c>
      <c r="F315" s="21">
        <f t="shared" si="24"/>
        <v>1.7745000000000004</v>
      </c>
      <c r="G315" s="22">
        <f t="shared" si="25"/>
        <v>1774500000.0000005</v>
      </c>
      <c r="H315" s="23"/>
    </row>
    <row r="316" spans="1:8">
      <c r="A316" s="48" t="s">
        <v>107</v>
      </c>
      <c r="B316" s="48"/>
      <c r="C316" s="19">
        <v>2.2000000000000002</v>
      </c>
      <c r="D316" s="19">
        <v>1.1000000000000001</v>
      </c>
      <c r="E316" s="24">
        <v>0.30624999999999997</v>
      </c>
      <c r="F316" s="21">
        <f t="shared" si="24"/>
        <v>1.3310000000000004</v>
      </c>
      <c r="G316" s="22">
        <f t="shared" si="25"/>
        <v>1331000000.0000005</v>
      </c>
      <c r="H316" s="23"/>
    </row>
    <row r="317" spans="1:8">
      <c r="A317" s="48" t="s">
        <v>179</v>
      </c>
      <c r="B317" s="48"/>
      <c r="C317" s="19">
        <v>2.9</v>
      </c>
      <c r="D317" s="19">
        <v>1.4</v>
      </c>
      <c r="E317" s="24">
        <v>0.30972222222222223</v>
      </c>
      <c r="F317" s="21">
        <f t="shared" si="24"/>
        <v>2.8419999999999996</v>
      </c>
      <c r="G317" s="22">
        <f t="shared" si="25"/>
        <v>2841999999.9999995</v>
      </c>
      <c r="H317" s="23"/>
    </row>
    <row r="318" spans="1:8">
      <c r="A318" s="46" t="s">
        <v>417</v>
      </c>
      <c r="B318" s="46"/>
      <c r="C318" s="16"/>
      <c r="D318" s="16"/>
      <c r="E318" s="16"/>
      <c r="F318" s="26">
        <f>SUM(F305:F317)</f>
        <v>40.529500000000006</v>
      </c>
      <c r="G318" s="27">
        <f t="shared" si="25"/>
        <v>40529500000.000008</v>
      </c>
    </row>
    <row r="320" spans="1:8">
      <c r="A320" s="9" t="s">
        <v>448</v>
      </c>
      <c r="B320" s="9" t="s">
        <v>438</v>
      </c>
      <c r="C320" s="10"/>
      <c r="D320" s="10"/>
    </row>
    <row r="321" spans="1:10">
      <c r="A321" s="13" t="s">
        <v>34</v>
      </c>
      <c r="B321" s="14">
        <v>41157</v>
      </c>
      <c r="C321" s="44" t="s">
        <v>413</v>
      </c>
      <c r="D321" s="44"/>
      <c r="E321" s="44" t="s">
        <v>32</v>
      </c>
      <c r="F321" s="15" t="s">
        <v>421</v>
      </c>
      <c r="G321" s="15" t="s">
        <v>421</v>
      </c>
    </row>
    <row r="322" spans="1:10" ht="15" customHeight="1">
      <c r="A322" s="47" t="s">
        <v>33</v>
      </c>
      <c r="B322" s="47"/>
      <c r="C322" s="16" t="s">
        <v>414</v>
      </c>
      <c r="D322" s="16" t="s">
        <v>415</v>
      </c>
      <c r="E322" s="44"/>
      <c r="F322" s="17" t="s">
        <v>423</v>
      </c>
      <c r="G322" s="17" t="s">
        <v>422</v>
      </c>
      <c r="H322" s="18"/>
      <c r="I322" s="18"/>
      <c r="J322" s="18"/>
    </row>
    <row r="323" spans="1:10">
      <c r="A323" s="48" t="s">
        <v>61</v>
      </c>
      <c r="B323" s="48"/>
      <c r="C323" s="19">
        <v>4.5999999999999996</v>
      </c>
      <c r="D323" s="19">
        <v>3.3</v>
      </c>
      <c r="E323" s="20" t="s">
        <v>418</v>
      </c>
      <c r="F323" s="21">
        <f t="shared" ref="F323:F330" si="26">C323*D323*D323/2</f>
        <v>25.046999999999993</v>
      </c>
      <c r="G323" s="22">
        <f>F323*10^9</f>
        <v>25046999999.999992</v>
      </c>
      <c r="H323" s="23"/>
    </row>
    <row r="324" spans="1:10">
      <c r="A324" s="48" t="s">
        <v>62</v>
      </c>
      <c r="B324" s="48"/>
      <c r="C324" s="19">
        <v>1.3</v>
      </c>
      <c r="D324" s="19">
        <v>1.1000000000000001</v>
      </c>
      <c r="E324" s="20" t="s">
        <v>63</v>
      </c>
      <c r="F324" s="21">
        <f t="shared" si="26"/>
        <v>0.7865000000000002</v>
      </c>
      <c r="G324" s="22">
        <f t="shared" ref="G324:G331" si="27">F324*10^9</f>
        <v>786500000.00000024</v>
      </c>
      <c r="H324" s="23"/>
    </row>
    <row r="325" spans="1:10">
      <c r="A325" s="48" t="s">
        <v>64</v>
      </c>
      <c r="B325" s="48"/>
      <c r="C325" s="19">
        <v>2.1</v>
      </c>
      <c r="D325" s="19">
        <v>1.1000000000000001</v>
      </c>
      <c r="E325" s="20" t="s">
        <v>63</v>
      </c>
      <c r="F325" s="21">
        <f t="shared" si="26"/>
        <v>1.2705000000000004</v>
      </c>
      <c r="G325" s="22">
        <f t="shared" si="27"/>
        <v>1270500000.0000005</v>
      </c>
      <c r="H325" s="23"/>
    </row>
    <row r="326" spans="1:10">
      <c r="A326" s="48" t="s">
        <v>65</v>
      </c>
      <c r="B326" s="48"/>
      <c r="C326" s="19">
        <v>3</v>
      </c>
      <c r="D326" s="19">
        <v>1.2</v>
      </c>
      <c r="E326" s="20" t="s">
        <v>66</v>
      </c>
      <c r="F326" s="21">
        <f t="shared" si="26"/>
        <v>2.1599999999999997</v>
      </c>
      <c r="G326" s="22">
        <f t="shared" si="27"/>
        <v>2159999999.9999995</v>
      </c>
      <c r="H326" s="23"/>
    </row>
    <row r="327" spans="1:10">
      <c r="A327" s="48" t="s">
        <v>67</v>
      </c>
      <c r="B327" s="48"/>
      <c r="C327" s="19">
        <v>2.5</v>
      </c>
      <c r="D327" s="19">
        <v>1.1000000000000001</v>
      </c>
      <c r="E327" s="20" t="s">
        <v>66</v>
      </c>
      <c r="F327" s="21">
        <f t="shared" si="26"/>
        <v>1.5125000000000002</v>
      </c>
      <c r="G327" s="22">
        <f t="shared" si="27"/>
        <v>1512500000.0000002</v>
      </c>
      <c r="H327" s="23"/>
    </row>
    <row r="328" spans="1:10">
      <c r="A328" s="48" t="s">
        <v>68</v>
      </c>
      <c r="B328" s="48"/>
      <c r="C328" s="19">
        <v>1.6</v>
      </c>
      <c r="D328" s="19">
        <v>0.9</v>
      </c>
      <c r="E328" s="20" t="s">
        <v>69</v>
      </c>
      <c r="F328" s="21">
        <f t="shared" si="26"/>
        <v>0.64800000000000013</v>
      </c>
      <c r="G328" s="22">
        <f t="shared" si="27"/>
        <v>648000000.00000012</v>
      </c>
      <c r="H328" s="23"/>
    </row>
    <row r="329" spans="1:10">
      <c r="A329" s="48" t="s">
        <v>70</v>
      </c>
      <c r="B329" s="48"/>
      <c r="C329" s="19">
        <v>2.1</v>
      </c>
      <c r="D329" s="19">
        <v>1.2</v>
      </c>
      <c r="E329" s="20" t="s">
        <v>71</v>
      </c>
      <c r="F329" s="21">
        <f t="shared" si="26"/>
        <v>1.512</v>
      </c>
      <c r="G329" s="22">
        <f t="shared" si="27"/>
        <v>1512000000</v>
      </c>
      <c r="H329" s="23"/>
    </row>
    <row r="330" spans="1:10">
      <c r="A330" s="48" t="s">
        <v>72</v>
      </c>
      <c r="B330" s="48"/>
      <c r="C330" s="19">
        <v>1.6</v>
      </c>
      <c r="D330" s="19">
        <v>1.2</v>
      </c>
      <c r="E330" s="20" t="s">
        <v>73</v>
      </c>
      <c r="F330" s="21">
        <f t="shared" si="26"/>
        <v>1.1519999999999999</v>
      </c>
      <c r="G330" s="22">
        <f t="shared" si="27"/>
        <v>1152000000</v>
      </c>
      <c r="H330" s="23"/>
    </row>
    <row r="331" spans="1:10">
      <c r="A331" s="46" t="s">
        <v>417</v>
      </c>
      <c r="B331" s="46"/>
      <c r="C331" s="16"/>
      <c r="D331" s="16"/>
      <c r="E331" s="16"/>
      <c r="F331" s="26">
        <f>SUM(F323:F330)</f>
        <v>34.088499999999996</v>
      </c>
      <c r="G331" s="27">
        <f t="shared" si="27"/>
        <v>34088499999.999996</v>
      </c>
    </row>
    <row r="335" spans="1:10">
      <c r="A335" s="9" t="s">
        <v>448</v>
      </c>
      <c r="B335" s="9" t="s">
        <v>439</v>
      </c>
      <c r="C335" s="10"/>
      <c r="D335" s="10"/>
    </row>
    <row r="336" spans="1:10">
      <c r="A336" s="13" t="s">
        <v>34</v>
      </c>
      <c r="B336" s="14">
        <v>41109</v>
      </c>
      <c r="C336" s="44" t="s">
        <v>413</v>
      </c>
      <c r="D336" s="44"/>
      <c r="E336" s="44" t="s">
        <v>32</v>
      </c>
      <c r="F336" s="15" t="s">
        <v>421</v>
      </c>
      <c r="G336" s="15" t="s">
        <v>421</v>
      </c>
    </row>
    <row r="337" spans="1:10" ht="15" customHeight="1">
      <c r="A337" s="47" t="s">
        <v>33</v>
      </c>
      <c r="B337" s="47"/>
      <c r="C337" s="16" t="s">
        <v>414</v>
      </c>
      <c r="D337" s="16" t="s">
        <v>415</v>
      </c>
      <c r="E337" s="44"/>
      <c r="F337" s="17" t="s">
        <v>423</v>
      </c>
      <c r="G337" s="17" t="s">
        <v>422</v>
      </c>
      <c r="H337" s="18"/>
      <c r="I337" s="18"/>
      <c r="J337" s="18"/>
    </row>
    <row r="338" spans="1:10">
      <c r="A338" s="48" t="s">
        <v>267</v>
      </c>
      <c r="B338" s="48"/>
      <c r="C338" s="19">
        <v>0.7</v>
      </c>
      <c r="D338" s="19">
        <v>0.5</v>
      </c>
      <c r="E338" s="20" t="s">
        <v>349</v>
      </c>
      <c r="F338" s="21">
        <f t="shared" ref="F338:F344" si="28">C338*D338*D338/2</f>
        <v>8.7499999999999994E-2</v>
      </c>
      <c r="G338" s="22">
        <f>F338*10^9</f>
        <v>87500000</v>
      </c>
      <c r="H338" s="23"/>
    </row>
    <row r="339" spans="1:10">
      <c r="A339" s="48" t="s">
        <v>267</v>
      </c>
      <c r="B339" s="48"/>
      <c r="C339" s="19">
        <v>1.2</v>
      </c>
      <c r="D339" s="19">
        <v>0.8</v>
      </c>
      <c r="E339" s="20" t="s">
        <v>269</v>
      </c>
      <c r="F339" s="21">
        <f t="shared" si="28"/>
        <v>0.38400000000000001</v>
      </c>
      <c r="G339" s="22">
        <f t="shared" ref="G339:G345" si="29">F339*10^9</f>
        <v>384000000</v>
      </c>
      <c r="H339" s="23"/>
    </row>
    <row r="340" spans="1:10">
      <c r="A340" s="48" t="s">
        <v>267</v>
      </c>
      <c r="B340" s="48"/>
      <c r="C340" s="19">
        <v>0.8</v>
      </c>
      <c r="D340" s="19">
        <v>0.8</v>
      </c>
      <c r="E340" s="20" t="s">
        <v>350</v>
      </c>
      <c r="F340" s="21">
        <f t="shared" si="28"/>
        <v>0.25600000000000006</v>
      </c>
      <c r="G340" s="22">
        <f t="shared" si="29"/>
        <v>256000000.00000006</v>
      </c>
      <c r="H340" s="23"/>
    </row>
    <row r="341" spans="1:10">
      <c r="A341" s="48" t="s">
        <v>156</v>
      </c>
      <c r="B341" s="48"/>
      <c r="C341" s="19">
        <v>0.8</v>
      </c>
      <c r="D341" s="19">
        <v>0.6</v>
      </c>
      <c r="E341" s="20" t="s">
        <v>351</v>
      </c>
      <c r="F341" s="21">
        <f t="shared" si="28"/>
        <v>0.14399999999999999</v>
      </c>
      <c r="G341" s="22">
        <f t="shared" si="29"/>
        <v>144000000</v>
      </c>
      <c r="H341" s="23"/>
    </row>
    <row r="342" spans="1:10">
      <c r="A342" s="48" t="s">
        <v>271</v>
      </c>
      <c r="B342" s="48"/>
      <c r="C342" s="19">
        <v>1.7</v>
      </c>
      <c r="D342" s="19">
        <v>1.2</v>
      </c>
      <c r="E342" s="20" t="s">
        <v>350</v>
      </c>
      <c r="F342" s="21">
        <f t="shared" si="28"/>
        <v>1.224</v>
      </c>
      <c r="G342" s="22">
        <f t="shared" si="29"/>
        <v>1224000000</v>
      </c>
      <c r="H342" s="23"/>
    </row>
    <row r="343" spans="1:10">
      <c r="A343" s="48" t="s">
        <v>352</v>
      </c>
      <c r="B343" s="48"/>
      <c r="C343" s="19">
        <v>3.8</v>
      </c>
      <c r="D343" s="19">
        <v>3</v>
      </c>
      <c r="E343" s="20" t="s">
        <v>38</v>
      </c>
      <c r="F343" s="21">
        <f t="shared" si="28"/>
        <v>17.099999999999998</v>
      </c>
      <c r="G343" s="22">
        <f t="shared" si="29"/>
        <v>17099999999.999998</v>
      </c>
      <c r="H343" s="23"/>
    </row>
    <row r="344" spans="1:10">
      <c r="A344" s="48" t="s">
        <v>273</v>
      </c>
      <c r="B344" s="48"/>
      <c r="C344" s="19">
        <v>1.9</v>
      </c>
      <c r="D344" s="19">
        <v>1.7</v>
      </c>
      <c r="E344" s="20" t="s">
        <v>353</v>
      </c>
      <c r="F344" s="21">
        <f t="shared" si="28"/>
        <v>2.7454999999999998</v>
      </c>
      <c r="G344" s="22">
        <f t="shared" si="29"/>
        <v>2745500000</v>
      </c>
      <c r="H344" s="23"/>
    </row>
    <row r="345" spans="1:10">
      <c r="A345" s="46" t="s">
        <v>417</v>
      </c>
      <c r="B345" s="46"/>
      <c r="C345" s="16"/>
      <c r="D345" s="16"/>
      <c r="E345" s="16"/>
      <c r="F345" s="26">
        <f>SUM(F338:F344)</f>
        <v>21.940999999999999</v>
      </c>
      <c r="G345" s="27">
        <f t="shared" si="29"/>
        <v>21941000000</v>
      </c>
    </row>
    <row r="347" spans="1:10">
      <c r="A347" s="9" t="s">
        <v>448</v>
      </c>
      <c r="B347" s="9" t="s">
        <v>440</v>
      </c>
      <c r="C347" s="10"/>
      <c r="D347" s="10"/>
    </row>
    <row r="348" spans="1:10">
      <c r="A348" s="13" t="s">
        <v>34</v>
      </c>
      <c r="B348" s="14">
        <v>40689</v>
      </c>
      <c r="C348" s="44" t="s">
        <v>413</v>
      </c>
      <c r="D348" s="44"/>
      <c r="E348" s="44" t="s">
        <v>32</v>
      </c>
      <c r="F348" s="15" t="s">
        <v>421</v>
      </c>
      <c r="G348" s="15" t="s">
        <v>421</v>
      </c>
    </row>
    <row r="349" spans="1:10" ht="15" customHeight="1">
      <c r="A349" s="47" t="s">
        <v>33</v>
      </c>
      <c r="B349" s="47"/>
      <c r="C349" s="16" t="s">
        <v>414</v>
      </c>
      <c r="D349" s="16" t="s">
        <v>415</v>
      </c>
      <c r="E349" s="44"/>
      <c r="F349" s="17" t="s">
        <v>423</v>
      </c>
      <c r="G349" s="17" t="s">
        <v>422</v>
      </c>
      <c r="H349" s="18"/>
      <c r="I349" s="18"/>
      <c r="J349" s="18"/>
    </row>
    <row r="350" spans="1:10">
      <c r="A350" s="48" t="s">
        <v>379</v>
      </c>
      <c r="B350" s="48"/>
      <c r="C350" s="19">
        <v>1.4</v>
      </c>
      <c r="D350" s="19">
        <v>1.1000000000000001</v>
      </c>
      <c r="E350" s="20" t="s">
        <v>380</v>
      </c>
      <c r="F350" s="21">
        <f t="shared" ref="F350:F359" si="30">C350*D350*D350/2</f>
        <v>0.84700000000000009</v>
      </c>
      <c r="G350" s="22">
        <f>F350*10^9</f>
        <v>847000000.00000012</v>
      </c>
      <c r="H350" s="23"/>
    </row>
    <row r="351" spans="1:10">
      <c r="A351" s="48" t="s">
        <v>381</v>
      </c>
      <c r="B351" s="48"/>
      <c r="C351" s="19">
        <v>1.4</v>
      </c>
      <c r="D351" s="19">
        <v>1.3</v>
      </c>
      <c r="E351" s="20" t="s">
        <v>382</v>
      </c>
      <c r="F351" s="21">
        <f t="shared" si="30"/>
        <v>1.1829999999999998</v>
      </c>
      <c r="G351" s="22">
        <f t="shared" ref="G351:G359" si="31">F351*10^9</f>
        <v>1182999999.9999998</v>
      </c>
      <c r="H351" s="23"/>
    </row>
    <row r="352" spans="1:10">
      <c r="A352" s="48" t="s">
        <v>381</v>
      </c>
      <c r="B352" s="48"/>
      <c r="C352" s="19">
        <v>2.9</v>
      </c>
      <c r="D352" s="19">
        <v>2.7</v>
      </c>
      <c r="E352" s="20" t="s">
        <v>383</v>
      </c>
      <c r="F352" s="21">
        <f t="shared" si="30"/>
        <v>10.570500000000001</v>
      </c>
      <c r="G352" s="22">
        <f t="shared" si="31"/>
        <v>10570500000</v>
      </c>
      <c r="H352" s="23"/>
    </row>
    <row r="353" spans="1:10">
      <c r="A353" s="48" t="s">
        <v>381</v>
      </c>
      <c r="B353" s="48"/>
      <c r="C353" s="19">
        <v>1.8</v>
      </c>
      <c r="D353" s="19">
        <v>1.7</v>
      </c>
      <c r="E353" s="20" t="s">
        <v>384</v>
      </c>
      <c r="F353" s="21">
        <f t="shared" si="30"/>
        <v>2.601</v>
      </c>
      <c r="G353" s="22">
        <f t="shared" si="31"/>
        <v>2601000000</v>
      </c>
      <c r="H353" s="23"/>
    </row>
    <row r="354" spans="1:10">
      <c r="A354" s="48" t="s">
        <v>381</v>
      </c>
      <c r="B354" s="48"/>
      <c r="C354" s="19">
        <v>1.5</v>
      </c>
      <c r="D354" s="19">
        <v>1.2</v>
      </c>
      <c r="E354" s="20" t="s">
        <v>385</v>
      </c>
      <c r="F354" s="21">
        <f t="shared" si="30"/>
        <v>1.0799999999999998</v>
      </c>
      <c r="G354" s="22">
        <f t="shared" si="31"/>
        <v>1079999999.9999998</v>
      </c>
      <c r="H354" s="23"/>
    </row>
    <row r="355" spans="1:10">
      <c r="A355" s="48" t="s">
        <v>381</v>
      </c>
      <c r="B355" s="48"/>
      <c r="C355" s="19">
        <v>1.1000000000000001</v>
      </c>
      <c r="D355" s="19">
        <v>0.9</v>
      </c>
      <c r="E355" s="20" t="s">
        <v>386</v>
      </c>
      <c r="F355" s="21">
        <f t="shared" si="30"/>
        <v>0.44550000000000006</v>
      </c>
      <c r="G355" s="22">
        <f t="shared" si="31"/>
        <v>445500000.00000006</v>
      </c>
      <c r="H355" s="23"/>
    </row>
    <row r="356" spans="1:10">
      <c r="A356" s="48" t="s">
        <v>387</v>
      </c>
      <c r="B356" s="48"/>
      <c r="C356" s="19">
        <v>1.4</v>
      </c>
      <c r="D356" s="19">
        <v>1.2</v>
      </c>
      <c r="E356" s="20" t="s">
        <v>388</v>
      </c>
      <c r="F356" s="21">
        <f t="shared" si="30"/>
        <v>1.008</v>
      </c>
      <c r="G356" s="22">
        <f t="shared" si="31"/>
        <v>1008000000</v>
      </c>
      <c r="H356" s="23"/>
    </row>
    <row r="357" spans="1:10">
      <c r="A357" s="48" t="s">
        <v>387</v>
      </c>
      <c r="B357" s="48"/>
      <c r="C357" s="19">
        <v>1.1000000000000001</v>
      </c>
      <c r="D357" s="19">
        <v>0.8</v>
      </c>
      <c r="E357" s="20" t="s">
        <v>386</v>
      </c>
      <c r="F357" s="21">
        <f t="shared" si="30"/>
        <v>0.35200000000000009</v>
      </c>
      <c r="G357" s="22">
        <f t="shared" si="31"/>
        <v>352000000.00000012</v>
      </c>
      <c r="H357" s="23"/>
    </row>
    <row r="358" spans="1:10">
      <c r="A358" s="48" t="s">
        <v>389</v>
      </c>
      <c r="B358" s="48"/>
      <c r="C358" s="19">
        <v>1.5</v>
      </c>
      <c r="D358" s="19">
        <v>1.3</v>
      </c>
      <c r="E358" s="20" t="s">
        <v>390</v>
      </c>
      <c r="F358" s="21">
        <f t="shared" si="30"/>
        <v>1.2675000000000001</v>
      </c>
      <c r="G358" s="22">
        <f t="shared" si="31"/>
        <v>1267500000</v>
      </c>
      <c r="H358" s="23"/>
    </row>
    <row r="359" spans="1:10">
      <c r="A359" s="48" t="s">
        <v>391</v>
      </c>
      <c r="B359" s="48"/>
      <c r="C359" s="19">
        <v>1.5</v>
      </c>
      <c r="D359" s="19">
        <v>1.4</v>
      </c>
      <c r="E359" s="20" t="s">
        <v>304</v>
      </c>
      <c r="F359" s="21">
        <f t="shared" si="30"/>
        <v>1.4699999999999998</v>
      </c>
      <c r="G359" s="22">
        <f t="shared" si="31"/>
        <v>1469999999.9999998</v>
      </c>
      <c r="H359" s="23"/>
    </row>
    <row r="360" spans="1:10">
      <c r="A360" s="46" t="s">
        <v>417</v>
      </c>
      <c r="B360" s="46"/>
      <c r="C360" s="16"/>
      <c r="D360" s="16"/>
      <c r="E360" s="16"/>
      <c r="F360" s="26">
        <f>SUM(F350:F359)</f>
        <v>20.824499999999993</v>
      </c>
      <c r="G360" s="27">
        <f>SUM(G350:G359)</f>
        <v>20824500000</v>
      </c>
    </row>
    <row r="362" spans="1:10">
      <c r="A362" s="9" t="s">
        <v>448</v>
      </c>
      <c r="B362" s="9" t="s">
        <v>441</v>
      </c>
      <c r="C362" s="10"/>
      <c r="D362" s="10"/>
    </row>
    <row r="363" spans="1:10">
      <c r="A363" s="13" t="s">
        <v>34</v>
      </c>
      <c r="B363" s="14">
        <v>40651</v>
      </c>
      <c r="C363" s="44" t="s">
        <v>413</v>
      </c>
      <c r="D363" s="44"/>
      <c r="E363" s="44" t="s">
        <v>32</v>
      </c>
      <c r="F363" s="15" t="s">
        <v>421</v>
      </c>
      <c r="G363" s="15" t="s">
        <v>421</v>
      </c>
    </row>
    <row r="364" spans="1:10" ht="15" customHeight="1">
      <c r="A364" s="47" t="s">
        <v>33</v>
      </c>
      <c r="B364" s="47"/>
      <c r="C364" s="16" t="s">
        <v>414</v>
      </c>
      <c r="D364" s="16" t="s">
        <v>415</v>
      </c>
      <c r="E364" s="44"/>
      <c r="F364" s="17" t="s">
        <v>423</v>
      </c>
      <c r="G364" s="17" t="s">
        <v>422</v>
      </c>
      <c r="H364" s="18"/>
      <c r="I364" s="18"/>
      <c r="J364" s="18"/>
    </row>
    <row r="365" spans="1:10">
      <c r="A365" s="48" t="s">
        <v>286</v>
      </c>
      <c r="B365" s="48"/>
      <c r="C365" s="19">
        <v>1.1000000000000001</v>
      </c>
      <c r="D365" s="19">
        <v>1</v>
      </c>
      <c r="E365" s="20" t="s">
        <v>287</v>
      </c>
      <c r="F365" s="21">
        <f>C365*D365*D365/2</f>
        <v>0.55000000000000004</v>
      </c>
      <c r="G365" s="22">
        <f>F365*10^9</f>
        <v>550000000</v>
      </c>
      <c r="H365" s="23"/>
    </row>
    <row r="366" spans="1:10">
      <c r="A366" s="48" t="s">
        <v>288</v>
      </c>
      <c r="B366" s="48"/>
      <c r="C366" s="19">
        <v>5.2</v>
      </c>
      <c r="D366" s="19">
        <v>2.7</v>
      </c>
      <c r="E366" s="20" t="s">
        <v>289</v>
      </c>
      <c r="F366" s="21">
        <f>C366*D366*D366/2</f>
        <v>18.954000000000004</v>
      </c>
      <c r="G366" s="22">
        <f t="shared" ref="G366:G369" si="32">F366*10^9</f>
        <v>18954000000.000004</v>
      </c>
      <c r="H366" s="23"/>
    </row>
    <row r="367" spans="1:10">
      <c r="A367" s="48" t="s">
        <v>290</v>
      </c>
      <c r="B367" s="48"/>
      <c r="C367" s="19">
        <v>1</v>
      </c>
      <c r="D367" s="19">
        <v>0.8</v>
      </c>
      <c r="E367" s="20" t="s">
        <v>291</v>
      </c>
      <c r="F367" s="21">
        <f>C367*D367*D367/2</f>
        <v>0.32000000000000006</v>
      </c>
      <c r="G367" s="22">
        <f t="shared" si="32"/>
        <v>320000000.00000006</v>
      </c>
      <c r="H367" s="23"/>
    </row>
    <row r="368" spans="1:10">
      <c r="A368" s="48" t="s">
        <v>290</v>
      </c>
      <c r="B368" s="48"/>
      <c r="C368" s="19">
        <v>0.8</v>
      </c>
      <c r="D368" s="19">
        <v>0.8</v>
      </c>
      <c r="E368" s="20" t="s">
        <v>292</v>
      </c>
      <c r="F368" s="21">
        <f>C368*D368*D368/2</f>
        <v>0.25600000000000006</v>
      </c>
      <c r="G368" s="22">
        <f t="shared" si="32"/>
        <v>256000000.00000006</v>
      </c>
      <c r="H368" s="23"/>
    </row>
    <row r="369" spans="1:10">
      <c r="A369" s="46" t="s">
        <v>417</v>
      </c>
      <c r="B369" s="46"/>
      <c r="C369" s="16"/>
      <c r="D369" s="16"/>
      <c r="E369" s="16"/>
      <c r="F369" s="26">
        <f>SUM(F365:F368)</f>
        <v>20.080000000000005</v>
      </c>
      <c r="G369" s="27">
        <f t="shared" si="32"/>
        <v>20080000000.000004</v>
      </c>
    </row>
    <row r="371" spans="1:10">
      <c r="A371" s="9" t="s">
        <v>448</v>
      </c>
      <c r="B371" s="9" t="s">
        <v>442</v>
      </c>
      <c r="C371" s="10"/>
      <c r="D371" s="10"/>
    </row>
    <row r="372" spans="1:10">
      <c r="A372" s="13" t="s">
        <v>34</v>
      </c>
      <c r="B372" s="14">
        <v>40707</v>
      </c>
      <c r="C372" s="44" t="s">
        <v>413</v>
      </c>
      <c r="D372" s="44"/>
      <c r="E372" s="44" t="s">
        <v>32</v>
      </c>
      <c r="F372" s="15" t="s">
        <v>421</v>
      </c>
      <c r="G372" s="15" t="s">
        <v>421</v>
      </c>
    </row>
    <row r="373" spans="1:10" ht="15" customHeight="1">
      <c r="A373" s="47" t="s">
        <v>33</v>
      </c>
      <c r="B373" s="47"/>
      <c r="C373" s="16" t="s">
        <v>414</v>
      </c>
      <c r="D373" s="16" t="s">
        <v>415</v>
      </c>
      <c r="E373" s="44"/>
      <c r="F373" s="17" t="s">
        <v>423</v>
      </c>
      <c r="G373" s="17" t="s">
        <v>422</v>
      </c>
      <c r="H373" s="18"/>
      <c r="I373" s="18"/>
      <c r="J373" s="18"/>
    </row>
    <row r="374" spans="1:10">
      <c r="A374" s="48" t="s">
        <v>261</v>
      </c>
      <c r="B374" s="48"/>
      <c r="C374" s="19">
        <v>3.8</v>
      </c>
      <c r="D374" s="19">
        <v>2.9</v>
      </c>
      <c r="E374" s="24">
        <v>0.30694444444444441</v>
      </c>
      <c r="F374" s="21">
        <f t="shared" ref="F374:F382" si="33">C374*D374*D374/2</f>
        <v>15.978999999999999</v>
      </c>
      <c r="G374" s="22">
        <f>F374*10^9</f>
        <v>15979000000</v>
      </c>
      <c r="H374" s="23"/>
    </row>
    <row r="375" spans="1:10">
      <c r="A375" s="48" t="s">
        <v>261</v>
      </c>
      <c r="B375" s="48"/>
      <c r="C375" s="19">
        <v>1</v>
      </c>
      <c r="D375" s="19">
        <v>0.6</v>
      </c>
      <c r="E375" s="24">
        <v>0.3215277777777778</v>
      </c>
      <c r="F375" s="21">
        <f t="shared" si="33"/>
        <v>0.18</v>
      </c>
      <c r="G375" s="22">
        <f t="shared" ref="G375:G383" si="34">F375*10^9</f>
        <v>180000000</v>
      </c>
      <c r="H375" s="23"/>
    </row>
    <row r="376" spans="1:10">
      <c r="A376" s="48" t="s">
        <v>261</v>
      </c>
      <c r="B376" s="48"/>
      <c r="C376" s="19">
        <v>1.1000000000000001</v>
      </c>
      <c r="D376" s="19">
        <v>0.6</v>
      </c>
      <c r="E376" s="24">
        <v>0.3215277777777778</v>
      </c>
      <c r="F376" s="21">
        <f t="shared" si="33"/>
        <v>0.19800000000000001</v>
      </c>
      <c r="G376" s="22">
        <f t="shared" si="34"/>
        <v>198000000</v>
      </c>
      <c r="H376" s="23"/>
    </row>
    <row r="377" spans="1:10">
      <c r="A377" s="48" t="s">
        <v>261</v>
      </c>
      <c r="B377" s="48"/>
      <c r="C377" s="19">
        <v>0.8</v>
      </c>
      <c r="D377" s="19">
        <v>0.6</v>
      </c>
      <c r="E377" s="24">
        <v>0.3215277777777778</v>
      </c>
      <c r="F377" s="21">
        <f t="shared" si="33"/>
        <v>0.14399999999999999</v>
      </c>
      <c r="G377" s="22">
        <f t="shared" si="34"/>
        <v>144000000</v>
      </c>
      <c r="H377" s="23"/>
    </row>
    <row r="378" spans="1:10">
      <c r="A378" s="48" t="s">
        <v>261</v>
      </c>
      <c r="B378" s="48"/>
      <c r="C378" s="19">
        <v>1.4</v>
      </c>
      <c r="D378" s="19">
        <v>1.1000000000000001</v>
      </c>
      <c r="E378" s="24">
        <v>0.31458333333333333</v>
      </c>
      <c r="F378" s="21">
        <f t="shared" si="33"/>
        <v>0.84700000000000009</v>
      </c>
      <c r="G378" s="22">
        <f t="shared" si="34"/>
        <v>847000000.00000012</v>
      </c>
      <c r="H378" s="23"/>
    </row>
    <row r="379" spans="1:10">
      <c r="A379" s="48" t="s">
        <v>262</v>
      </c>
      <c r="B379" s="48"/>
      <c r="C379" s="19">
        <v>1</v>
      </c>
      <c r="D379" s="19">
        <v>0.7</v>
      </c>
      <c r="E379" s="24">
        <v>0.30277777777777776</v>
      </c>
      <c r="F379" s="21">
        <f t="shared" si="33"/>
        <v>0.24499999999999997</v>
      </c>
      <c r="G379" s="22">
        <f t="shared" si="34"/>
        <v>244999999.99999997</v>
      </c>
      <c r="H379" s="23"/>
    </row>
    <row r="380" spans="1:10">
      <c r="A380" s="48" t="s">
        <v>262</v>
      </c>
      <c r="B380" s="48"/>
      <c r="C380" s="19">
        <v>0.7</v>
      </c>
      <c r="D380" s="19">
        <v>0.6</v>
      </c>
      <c r="E380" s="24">
        <v>0.30277777777777776</v>
      </c>
      <c r="F380" s="21">
        <f t="shared" si="33"/>
        <v>0.126</v>
      </c>
      <c r="G380" s="22">
        <f t="shared" si="34"/>
        <v>126000000</v>
      </c>
      <c r="H380" s="23"/>
    </row>
    <row r="381" spans="1:10">
      <c r="A381" s="48" t="s">
        <v>263</v>
      </c>
      <c r="B381" s="48"/>
      <c r="C381" s="19">
        <v>0.6</v>
      </c>
      <c r="D381" s="19">
        <v>0.4</v>
      </c>
      <c r="E381" s="25" t="s">
        <v>264</v>
      </c>
      <c r="F381" s="21">
        <f t="shared" si="33"/>
        <v>4.8000000000000001E-2</v>
      </c>
      <c r="G381" s="22">
        <f t="shared" si="34"/>
        <v>48000000</v>
      </c>
      <c r="H381" s="23"/>
    </row>
    <row r="382" spans="1:10">
      <c r="A382" s="48" t="s">
        <v>265</v>
      </c>
      <c r="B382" s="48"/>
      <c r="C382" s="19">
        <v>0.8</v>
      </c>
      <c r="D382" s="19">
        <v>0.6</v>
      </c>
      <c r="E382" s="25" t="s">
        <v>266</v>
      </c>
      <c r="F382" s="21">
        <f t="shared" si="33"/>
        <v>0.14399999999999999</v>
      </c>
      <c r="G382" s="22">
        <f t="shared" si="34"/>
        <v>144000000</v>
      </c>
      <c r="H382" s="23"/>
    </row>
    <row r="383" spans="1:10">
      <c r="A383" s="46" t="s">
        <v>417</v>
      </c>
      <c r="B383" s="46"/>
      <c r="C383" s="16"/>
      <c r="D383" s="16"/>
      <c r="E383" s="16"/>
      <c r="F383" s="26">
        <f>SUM(F374:F382)</f>
        <v>17.910999999999998</v>
      </c>
      <c r="G383" s="27">
        <f t="shared" si="34"/>
        <v>17910999999.999996</v>
      </c>
    </row>
    <row r="385" spans="1:10">
      <c r="A385" s="9" t="s">
        <v>448</v>
      </c>
      <c r="B385" s="9" t="s">
        <v>443</v>
      </c>
      <c r="C385" s="10"/>
      <c r="D385" s="10"/>
    </row>
    <row r="386" spans="1:10" ht="15" customHeight="1">
      <c r="A386" s="13" t="s">
        <v>34</v>
      </c>
      <c r="B386" s="14">
        <v>40525</v>
      </c>
      <c r="C386" s="44" t="s">
        <v>413</v>
      </c>
      <c r="D386" s="44"/>
      <c r="E386" s="44" t="s">
        <v>32</v>
      </c>
      <c r="F386" s="15" t="s">
        <v>421</v>
      </c>
      <c r="G386" s="15" t="s">
        <v>421</v>
      </c>
    </row>
    <row r="387" spans="1:10" ht="16.5" customHeight="1">
      <c r="A387" s="47" t="s">
        <v>33</v>
      </c>
      <c r="B387" s="47"/>
      <c r="C387" s="16" t="s">
        <v>414</v>
      </c>
      <c r="D387" s="16" t="s">
        <v>415</v>
      </c>
      <c r="E387" s="44"/>
      <c r="F387" s="17" t="s">
        <v>423</v>
      </c>
      <c r="G387" s="17" t="s">
        <v>422</v>
      </c>
      <c r="H387" s="18"/>
      <c r="I387" s="18"/>
      <c r="J387" s="18"/>
    </row>
    <row r="388" spans="1:10">
      <c r="A388" s="48" t="s">
        <v>58</v>
      </c>
      <c r="B388" s="48"/>
      <c r="C388" s="19">
        <v>1.4</v>
      </c>
      <c r="D388" s="19">
        <v>1.2</v>
      </c>
      <c r="E388" s="24">
        <v>0.11319444444444444</v>
      </c>
      <c r="F388" s="35">
        <f>C388*D388*D388/2</f>
        <v>1.008</v>
      </c>
      <c r="G388" s="36">
        <f>F388*10^9</f>
        <v>1008000000</v>
      </c>
      <c r="H388" s="23"/>
    </row>
    <row r="389" spans="1:10">
      <c r="A389" s="48" t="s">
        <v>59</v>
      </c>
      <c r="B389" s="48"/>
      <c r="C389" s="19">
        <v>0.9</v>
      </c>
      <c r="D389" s="19">
        <v>0.9</v>
      </c>
      <c r="E389" s="24">
        <v>0.11597222222222221</v>
      </c>
      <c r="F389" s="21">
        <f>C389*D389*D389/2</f>
        <v>0.36450000000000005</v>
      </c>
      <c r="G389" s="22">
        <f t="shared" ref="G389:G391" si="35">F389*10^9</f>
        <v>364500000.00000006</v>
      </c>
      <c r="H389" s="23"/>
    </row>
    <row r="390" spans="1:10">
      <c r="A390" s="48" t="s">
        <v>60</v>
      </c>
      <c r="B390" s="48"/>
      <c r="C390" s="19">
        <v>0.9</v>
      </c>
      <c r="D390" s="19">
        <v>0.7</v>
      </c>
      <c r="E390" s="24">
        <v>0.11805555555555557</v>
      </c>
      <c r="F390" s="21">
        <f>C390*D390*D390/2</f>
        <v>0.22049999999999997</v>
      </c>
      <c r="G390" s="22">
        <f t="shared" si="35"/>
        <v>220499999.99999997</v>
      </c>
      <c r="H390" s="23"/>
    </row>
    <row r="391" spans="1:10">
      <c r="A391" s="46" t="s">
        <v>417</v>
      </c>
      <c r="B391" s="46"/>
      <c r="C391" s="16"/>
      <c r="D391" s="16"/>
      <c r="E391" s="16"/>
      <c r="F391" s="26">
        <f>SUM(F388:F390)</f>
        <v>1.593</v>
      </c>
      <c r="G391" s="27">
        <f t="shared" si="35"/>
        <v>1593000000</v>
      </c>
    </row>
    <row r="393" spans="1:10">
      <c r="A393" s="9" t="s">
        <v>448</v>
      </c>
      <c r="B393" s="9" t="s">
        <v>444</v>
      </c>
      <c r="C393" s="10"/>
      <c r="D393" s="10"/>
    </row>
    <row r="394" spans="1:10">
      <c r="A394" s="13" t="s">
        <v>34</v>
      </c>
      <c r="B394" s="14">
        <v>40757</v>
      </c>
      <c r="C394" s="44" t="s">
        <v>413</v>
      </c>
      <c r="D394" s="44"/>
      <c r="E394" s="44" t="s">
        <v>32</v>
      </c>
      <c r="F394" s="15" t="s">
        <v>421</v>
      </c>
      <c r="G394" s="15" t="s">
        <v>421</v>
      </c>
    </row>
    <row r="395" spans="1:10" ht="15" customHeight="1">
      <c r="A395" s="47" t="s">
        <v>33</v>
      </c>
      <c r="B395" s="47"/>
      <c r="C395" s="16" t="s">
        <v>414</v>
      </c>
      <c r="D395" s="16" t="s">
        <v>415</v>
      </c>
      <c r="E395" s="44"/>
      <c r="F395" s="17" t="s">
        <v>423</v>
      </c>
      <c r="G395" s="17" t="s">
        <v>422</v>
      </c>
      <c r="H395" s="18"/>
      <c r="I395" s="18"/>
      <c r="J395" s="18"/>
    </row>
    <row r="396" spans="1:10">
      <c r="A396" s="48" t="s">
        <v>114</v>
      </c>
      <c r="B396" s="48"/>
      <c r="C396" s="19">
        <v>0.3</v>
      </c>
      <c r="D396" s="19">
        <v>0.3</v>
      </c>
      <c r="E396" s="24" t="s">
        <v>293</v>
      </c>
      <c r="F396" s="21">
        <f t="shared" ref="F396:F416" si="36">C396*D396*D396/2</f>
        <v>1.35E-2</v>
      </c>
      <c r="G396" s="22">
        <f>F396*10^9</f>
        <v>13500000</v>
      </c>
      <c r="H396" s="23"/>
    </row>
    <row r="397" spans="1:10">
      <c r="A397" s="48" t="s">
        <v>114</v>
      </c>
      <c r="B397" s="48"/>
      <c r="C397" s="19">
        <v>0.5</v>
      </c>
      <c r="D397" s="19">
        <v>0.4</v>
      </c>
      <c r="E397" s="24" t="s">
        <v>294</v>
      </c>
      <c r="F397" s="21">
        <f t="shared" si="36"/>
        <v>4.0000000000000008E-2</v>
      </c>
      <c r="G397" s="22">
        <f t="shared" ref="G397:G417" si="37">F397*10^9</f>
        <v>40000000.000000007</v>
      </c>
      <c r="H397" s="23"/>
    </row>
    <row r="398" spans="1:10">
      <c r="A398" s="48" t="s">
        <v>114</v>
      </c>
      <c r="B398" s="48"/>
      <c r="C398" s="19">
        <v>0.4</v>
      </c>
      <c r="D398" s="19">
        <v>0.3</v>
      </c>
      <c r="E398" s="24" t="s">
        <v>295</v>
      </c>
      <c r="F398" s="21">
        <f t="shared" si="36"/>
        <v>1.7999999999999999E-2</v>
      </c>
      <c r="G398" s="22">
        <f t="shared" si="37"/>
        <v>18000000</v>
      </c>
      <c r="H398" s="23"/>
    </row>
    <row r="399" spans="1:10">
      <c r="A399" s="48" t="s">
        <v>114</v>
      </c>
      <c r="B399" s="48"/>
      <c r="C399" s="19">
        <v>0.5</v>
      </c>
      <c r="D399" s="19">
        <v>0.4</v>
      </c>
      <c r="E399" s="20" t="s">
        <v>296</v>
      </c>
      <c r="F399" s="21">
        <f t="shared" si="36"/>
        <v>4.0000000000000008E-2</v>
      </c>
      <c r="G399" s="22">
        <f t="shared" si="37"/>
        <v>40000000.000000007</v>
      </c>
      <c r="H399" s="23"/>
    </row>
    <row r="400" spans="1:10">
      <c r="A400" s="48" t="s">
        <v>114</v>
      </c>
      <c r="B400" s="48"/>
      <c r="C400" s="19">
        <v>0.4</v>
      </c>
      <c r="D400" s="19">
        <v>0.4</v>
      </c>
      <c r="E400" s="20" t="s">
        <v>297</v>
      </c>
      <c r="F400" s="21">
        <f t="shared" si="36"/>
        <v>3.2000000000000008E-2</v>
      </c>
      <c r="G400" s="22">
        <f t="shared" si="37"/>
        <v>32000000.000000007</v>
      </c>
      <c r="H400" s="23"/>
    </row>
    <row r="401" spans="1:8">
      <c r="A401" s="48" t="s">
        <v>116</v>
      </c>
      <c r="B401" s="48"/>
      <c r="C401" s="19">
        <v>0.3</v>
      </c>
      <c r="D401" s="19">
        <v>0.3</v>
      </c>
      <c r="E401" s="20" t="s">
        <v>296</v>
      </c>
      <c r="F401" s="21">
        <f t="shared" si="36"/>
        <v>1.35E-2</v>
      </c>
      <c r="G401" s="22">
        <f t="shared" si="37"/>
        <v>13500000</v>
      </c>
      <c r="H401" s="23"/>
    </row>
    <row r="402" spans="1:8">
      <c r="A402" s="48" t="s">
        <v>116</v>
      </c>
      <c r="B402" s="48"/>
      <c r="C402" s="19">
        <v>0.3</v>
      </c>
      <c r="D402" s="19">
        <v>0.3</v>
      </c>
      <c r="E402" s="20" t="s">
        <v>296</v>
      </c>
      <c r="F402" s="21">
        <f t="shared" si="36"/>
        <v>1.35E-2</v>
      </c>
      <c r="G402" s="22">
        <f t="shared" si="37"/>
        <v>13500000</v>
      </c>
      <c r="H402" s="23"/>
    </row>
    <row r="403" spans="1:8">
      <c r="A403" s="48" t="s">
        <v>116</v>
      </c>
      <c r="B403" s="48"/>
      <c r="C403" s="19">
        <v>0.4</v>
      </c>
      <c r="D403" s="19">
        <v>0.4</v>
      </c>
      <c r="E403" s="20" t="s">
        <v>298</v>
      </c>
      <c r="F403" s="21">
        <f t="shared" si="36"/>
        <v>3.2000000000000008E-2</v>
      </c>
      <c r="G403" s="22">
        <f t="shared" si="37"/>
        <v>32000000.000000007</v>
      </c>
      <c r="H403" s="23"/>
    </row>
    <row r="404" spans="1:8">
      <c r="A404" s="48" t="s">
        <v>114</v>
      </c>
      <c r="B404" s="48"/>
      <c r="C404" s="19">
        <v>0.3</v>
      </c>
      <c r="D404" s="19">
        <v>0.3</v>
      </c>
      <c r="E404" s="20" t="s">
        <v>299</v>
      </c>
      <c r="F404" s="21">
        <f t="shared" si="36"/>
        <v>1.35E-2</v>
      </c>
      <c r="G404" s="22">
        <f t="shared" si="37"/>
        <v>13500000</v>
      </c>
      <c r="H404" s="23"/>
    </row>
    <row r="405" spans="1:8">
      <c r="A405" s="48" t="s">
        <v>300</v>
      </c>
      <c r="B405" s="48"/>
      <c r="C405" s="19">
        <v>0.6</v>
      </c>
      <c r="D405" s="19">
        <v>0.5</v>
      </c>
      <c r="E405" s="20" t="s">
        <v>301</v>
      </c>
      <c r="F405" s="21">
        <f t="shared" si="36"/>
        <v>7.4999999999999997E-2</v>
      </c>
      <c r="G405" s="22">
        <f t="shared" si="37"/>
        <v>75000000</v>
      </c>
      <c r="H405" s="23"/>
    </row>
    <row r="406" spans="1:8">
      <c r="A406" s="48" t="s">
        <v>116</v>
      </c>
      <c r="B406" s="45"/>
      <c r="C406" s="19">
        <v>0.4</v>
      </c>
      <c r="D406" s="19">
        <v>0.3</v>
      </c>
      <c r="E406" s="20" t="s">
        <v>302</v>
      </c>
      <c r="F406" s="21">
        <f t="shared" si="36"/>
        <v>1.7999999999999999E-2</v>
      </c>
      <c r="G406" s="22">
        <f t="shared" si="37"/>
        <v>18000000</v>
      </c>
      <c r="H406" s="23"/>
    </row>
    <row r="407" spans="1:8">
      <c r="A407" s="48" t="s">
        <v>300</v>
      </c>
      <c r="B407" s="45"/>
      <c r="C407" s="19">
        <v>0.4</v>
      </c>
      <c r="D407" s="19">
        <v>0.3</v>
      </c>
      <c r="E407" s="20" t="s">
        <v>303</v>
      </c>
      <c r="F407" s="21">
        <f t="shared" si="36"/>
        <v>1.7999999999999999E-2</v>
      </c>
      <c r="G407" s="22">
        <f t="shared" si="37"/>
        <v>18000000</v>
      </c>
      <c r="H407" s="23"/>
    </row>
    <row r="408" spans="1:8">
      <c r="A408" s="48" t="s">
        <v>116</v>
      </c>
      <c r="B408" s="48"/>
      <c r="C408" s="19">
        <v>0.4</v>
      </c>
      <c r="D408" s="19">
        <v>0.4</v>
      </c>
      <c r="E408" s="20" t="s">
        <v>303</v>
      </c>
      <c r="F408" s="21">
        <f t="shared" si="36"/>
        <v>3.2000000000000008E-2</v>
      </c>
      <c r="G408" s="22">
        <f t="shared" si="37"/>
        <v>32000000.000000007</v>
      </c>
      <c r="H408" s="23"/>
    </row>
    <row r="409" spans="1:8">
      <c r="A409" s="48" t="s">
        <v>116</v>
      </c>
      <c r="B409" s="48"/>
      <c r="C409" s="19">
        <v>0.3</v>
      </c>
      <c r="D409" s="19">
        <v>0.3</v>
      </c>
      <c r="E409" s="20" t="s">
        <v>304</v>
      </c>
      <c r="F409" s="21">
        <f t="shared" si="36"/>
        <v>1.35E-2</v>
      </c>
      <c r="G409" s="22">
        <f t="shared" si="37"/>
        <v>13500000</v>
      </c>
      <c r="H409" s="23"/>
    </row>
    <row r="410" spans="1:8">
      <c r="A410" s="48" t="s">
        <v>116</v>
      </c>
      <c r="B410" s="45"/>
      <c r="C410" s="19">
        <v>0.3</v>
      </c>
      <c r="D410" s="19">
        <v>0.3</v>
      </c>
      <c r="E410" s="20" t="s">
        <v>304</v>
      </c>
      <c r="F410" s="21">
        <f t="shared" si="36"/>
        <v>1.35E-2</v>
      </c>
      <c r="G410" s="22">
        <f t="shared" si="37"/>
        <v>13500000</v>
      </c>
      <c r="H410" s="23"/>
    </row>
    <row r="411" spans="1:8">
      <c r="A411" s="48" t="s">
        <v>118</v>
      </c>
      <c r="B411" s="45"/>
      <c r="C411" s="19">
        <v>0.3</v>
      </c>
      <c r="D411" s="19">
        <v>0.3</v>
      </c>
      <c r="E411" s="20" t="s">
        <v>305</v>
      </c>
      <c r="F411" s="21">
        <f t="shared" si="36"/>
        <v>1.35E-2</v>
      </c>
      <c r="G411" s="22">
        <f t="shared" si="37"/>
        <v>13500000</v>
      </c>
      <c r="H411" s="23"/>
    </row>
    <row r="412" spans="1:8">
      <c r="A412" s="48" t="s">
        <v>121</v>
      </c>
      <c r="B412" s="45"/>
      <c r="C412" s="19">
        <v>0.5</v>
      </c>
      <c r="D412" s="19">
        <v>0.4</v>
      </c>
      <c r="E412" s="20" t="s">
        <v>306</v>
      </c>
      <c r="F412" s="21">
        <f t="shared" si="36"/>
        <v>4.0000000000000008E-2</v>
      </c>
      <c r="G412" s="22">
        <f t="shared" si="37"/>
        <v>40000000.000000007</v>
      </c>
      <c r="H412" s="23"/>
    </row>
    <row r="413" spans="1:8">
      <c r="A413" s="48" t="s">
        <v>121</v>
      </c>
      <c r="B413" s="45"/>
      <c r="C413" s="19">
        <v>0.3</v>
      </c>
      <c r="D413" s="19">
        <v>0.3</v>
      </c>
      <c r="E413" s="20" t="s">
        <v>307</v>
      </c>
      <c r="F413" s="21">
        <f t="shared" si="36"/>
        <v>1.35E-2</v>
      </c>
      <c r="G413" s="22">
        <f t="shared" si="37"/>
        <v>13500000</v>
      </c>
      <c r="H413" s="23"/>
    </row>
    <row r="414" spans="1:8">
      <c r="A414" s="48" t="s">
        <v>121</v>
      </c>
      <c r="B414" s="45"/>
      <c r="C414" s="19">
        <v>0.6</v>
      </c>
      <c r="D414" s="19">
        <v>0.5</v>
      </c>
      <c r="E414" s="20" t="s">
        <v>308</v>
      </c>
      <c r="F414" s="21">
        <f t="shared" si="36"/>
        <v>7.4999999999999997E-2</v>
      </c>
      <c r="G414" s="22">
        <f t="shared" si="37"/>
        <v>75000000</v>
      </c>
      <c r="H414" s="23"/>
    </row>
    <row r="415" spans="1:8">
      <c r="A415" s="48" t="s">
        <v>121</v>
      </c>
      <c r="B415" s="48"/>
      <c r="C415" s="19">
        <v>0.3</v>
      </c>
      <c r="D415" s="19">
        <v>0.2</v>
      </c>
      <c r="E415" s="20" t="s">
        <v>309</v>
      </c>
      <c r="F415" s="21">
        <f t="shared" si="36"/>
        <v>6.0000000000000001E-3</v>
      </c>
      <c r="G415" s="22">
        <f t="shared" si="37"/>
        <v>6000000</v>
      </c>
      <c r="H415" s="23"/>
    </row>
    <row r="416" spans="1:8">
      <c r="A416" s="48" t="s">
        <v>310</v>
      </c>
      <c r="B416" s="48"/>
      <c r="C416" s="19">
        <v>1.3</v>
      </c>
      <c r="D416" s="19">
        <v>1.1000000000000001</v>
      </c>
      <c r="E416" s="20" t="s">
        <v>311</v>
      </c>
      <c r="F416" s="21">
        <f t="shared" si="36"/>
        <v>0.7865000000000002</v>
      </c>
      <c r="G416" s="22">
        <f t="shared" si="37"/>
        <v>786500000.00000024</v>
      </c>
      <c r="H416" s="23"/>
    </row>
    <row r="417" spans="1:10">
      <c r="A417" s="46" t="s">
        <v>417</v>
      </c>
      <c r="B417" s="46"/>
      <c r="C417" s="16"/>
      <c r="D417" s="16"/>
      <c r="E417" s="16"/>
      <c r="F417" s="26">
        <f>SUM(F396:F416)</f>
        <v>1.3205000000000005</v>
      </c>
      <c r="G417" s="27">
        <f t="shared" si="37"/>
        <v>1320500000.0000005</v>
      </c>
    </row>
    <row r="419" spans="1:10">
      <c r="A419" s="9" t="s">
        <v>448</v>
      </c>
      <c r="B419" s="9" t="s">
        <v>445</v>
      </c>
      <c r="C419" s="10"/>
      <c r="D419" s="10"/>
    </row>
    <row r="420" spans="1:10">
      <c r="A420" s="13" t="s">
        <v>34</v>
      </c>
      <c r="B420" s="14">
        <v>41166</v>
      </c>
      <c r="C420" s="44" t="s">
        <v>413</v>
      </c>
      <c r="D420" s="44"/>
      <c r="E420" s="44" t="s">
        <v>32</v>
      </c>
      <c r="F420" s="15" t="s">
        <v>421</v>
      </c>
      <c r="G420" s="15" t="s">
        <v>421</v>
      </c>
    </row>
    <row r="421" spans="1:10" ht="15" customHeight="1">
      <c r="A421" s="47" t="s">
        <v>33</v>
      </c>
      <c r="B421" s="47"/>
      <c r="C421" s="16" t="s">
        <v>414</v>
      </c>
      <c r="D421" s="16" t="s">
        <v>415</v>
      </c>
      <c r="E421" s="44"/>
      <c r="F421" s="17" t="s">
        <v>423</v>
      </c>
      <c r="G421" s="17" t="s">
        <v>422</v>
      </c>
      <c r="H421" s="18"/>
      <c r="I421" s="18"/>
      <c r="J421" s="18"/>
    </row>
    <row r="422" spans="1:10">
      <c r="A422" s="48" t="s">
        <v>108</v>
      </c>
      <c r="B422" s="48"/>
      <c r="C422" s="19">
        <v>1.4</v>
      </c>
      <c r="D422" s="19">
        <v>1.1000000000000001</v>
      </c>
      <c r="E422" s="20" t="s">
        <v>419</v>
      </c>
      <c r="F422" s="21">
        <f>C422*D422*D422/2</f>
        <v>0.84700000000000009</v>
      </c>
      <c r="G422" s="22">
        <f>F422*10^9</f>
        <v>847000000.00000012</v>
      </c>
      <c r="H422" s="23"/>
    </row>
    <row r="423" spans="1:10">
      <c r="A423" s="46" t="s">
        <v>417</v>
      </c>
      <c r="B423" s="46"/>
      <c r="C423" s="16"/>
      <c r="D423" s="16"/>
      <c r="E423" s="16"/>
      <c r="F423" s="26">
        <f>SUM(F420:F422)</f>
        <v>0.84700000000000009</v>
      </c>
      <c r="G423" s="27">
        <f t="shared" ref="G423" si="38">F423*10^9</f>
        <v>847000000.00000012</v>
      </c>
    </row>
    <row r="468" spans="3:5">
      <c r="C468" s="2"/>
      <c r="D468" s="2"/>
      <c r="E468" s="2"/>
    </row>
    <row r="478" spans="3:5">
      <c r="C478" s="2"/>
      <c r="D478" s="2"/>
      <c r="E478" s="2"/>
    </row>
    <row r="493" spans="3:5">
      <c r="C493" s="2"/>
      <c r="D493" s="2"/>
      <c r="E493" s="2"/>
    </row>
    <row r="526" spans="3:5">
      <c r="C526" s="2"/>
      <c r="D526" s="2"/>
      <c r="E526" s="2"/>
    </row>
    <row r="538" spans="3:5">
      <c r="C538" s="2"/>
      <c r="D538" s="2"/>
      <c r="E538" s="2"/>
    </row>
  </sheetData>
  <mergeCells count="397">
    <mergeCell ref="A222:B222"/>
    <mergeCell ref="A223:B223"/>
    <mergeCell ref="E203:E204"/>
    <mergeCell ref="A204:B204"/>
    <mergeCell ref="A205:B205"/>
    <mergeCell ref="A359:B359"/>
    <mergeCell ref="A360:B360"/>
    <mergeCell ref="C203:D203"/>
    <mergeCell ref="A212:B212"/>
    <mergeCell ref="A213:B213"/>
    <mergeCell ref="A214:B214"/>
    <mergeCell ref="A215:B215"/>
    <mergeCell ref="A216:B216"/>
    <mergeCell ref="A217:B217"/>
    <mergeCell ref="A206:B206"/>
    <mergeCell ref="A207:B207"/>
    <mergeCell ref="A208:B208"/>
    <mergeCell ref="A209:B209"/>
    <mergeCell ref="A210:B210"/>
    <mergeCell ref="A211:B211"/>
    <mergeCell ref="A224:B224"/>
    <mergeCell ref="A225:B225"/>
    <mergeCell ref="A226:B226"/>
    <mergeCell ref="A350:B350"/>
    <mergeCell ref="A351:B351"/>
    <mergeCell ref="A352:B352"/>
    <mergeCell ref="A227:B227"/>
    <mergeCell ref="A228:B228"/>
    <mergeCell ref="A218:B218"/>
    <mergeCell ref="C348:D348"/>
    <mergeCell ref="E348:E349"/>
    <mergeCell ref="A349:B349"/>
    <mergeCell ref="A20:B20"/>
    <mergeCell ref="A21:B21"/>
    <mergeCell ref="A22:B22"/>
    <mergeCell ref="C190:D190"/>
    <mergeCell ref="E190:E191"/>
    <mergeCell ref="C336:D336"/>
    <mergeCell ref="E336:E337"/>
    <mergeCell ref="A337:B337"/>
    <mergeCell ref="A195:B195"/>
    <mergeCell ref="A196:B196"/>
    <mergeCell ref="A197:B197"/>
    <mergeCell ref="A198:B198"/>
    <mergeCell ref="A199:B199"/>
    <mergeCell ref="A200:B200"/>
    <mergeCell ref="C121:D121"/>
    <mergeCell ref="E121:E122"/>
    <mergeCell ref="A127:B127"/>
    <mergeCell ref="A128:B128"/>
    <mergeCell ref="A219:B219"/>
    <mergeCell ref="A220:B220"/>
    <mergeCell ref="A221:B221"/>
    <mergeCell ref="A132:B132"/>
    <mergeCell ref="A122:B122"/>
    <mergeCell ref="A123:B123"/>
    <mergeCell ref="A3:B3"/>
    <mergeCell ref="A4:B4"/>
    <mergeCell ref="A5:B5"/>
    <mergeCell ref="A6:B6"/>
    <mergeCell ref="A7:B7"/>
    <mergeCell ref="A111:B111"/>
    <mergeCell ref="A100:B100"/>
    <mergeCell ref="A101:B101"/>
    <mergeCell ref="A102:B102"/>
    <mergeCell ref="A103:B103"/>
    <mergeCell ref="A104:B104"/>
    <mergeCell ref="A105:B105"/>
    <mergeCell ref="A118:B118"/>
    <mergeCell ref="A87:B87"/>
    <mergeCell ref="A94:B94"/>
    <mergeCell ref="A95:B95"/>
    <mergeCell ref="A96:B96"/>
    <mergeCell ref="A97:B97"/>
    <mergeCell ref="A422:B422"/>
    <mergeCell ref="A423:B423"/>
    <mergeCell ref="C2:D2"/>
    <mergeCell ref="E2:E3"/>
    <mergeCell ref="A14:B14"/>
    <mergeCell ref="A15:B15"/>
    <mergeCell ref="A16:B16"/>
    <mergeCell ref="A17:B17"/>
    <mergeCell ref="A18:B18"/>
    <mergeCell ref="A19:B19"/>
    <mergeCell ref="A8:B8"/>
    <mergeCell ref="A9:B9"/>
    <mergeCell ref="A10:B10"/>
    <mergeCell ref="A11:B11"/>
    <mergeCell ref="A12:B12"/>
    <mergeCell ref="A13:B13"/>
    <mergeCell ref="A191:B191"/>
    <mergeCell ref="A192:B192"/>
    <mergeCell ref="A193:B193"/>
    <mergeCell ref="C420:D420"/>
    <mergeCell ref="E420:E421"/>
    <mergeCell ref="A421:B421"/>
    <mergeCell ref="A412:B412"/>
    <mergeCell ref="A413:B413"/>
    <mergeCell ref="A414:B414"/>
    <mergeCell ref="A415:B415"/>
    <mergeCell ref="A416:B416"/>
    <mergeCell ref="A417:B417"/>
    <mergeCell ref="A406:B406"/>
    <mergeCell ref="A407:B407"/>
    <mergeCell ref="A408:B408"/>
    <mergeCell ref="A409:B409"/>
    <mergeCell ref="A410:B410"/>
    <mergeCell ref="A411:B411"/>
    <mergeCell ref="A400:B400"/>
    <mergeCell ref="A401:B401"/>
    <mergeCell ref="A402:B402"/>
    <mergeCell ref="A403:B403"/>
    <mergeCell ref="A404:B404"/>
    <mergeCell ref="A405:B405"/>
    <mergeCell ref="A395:B395"/>
    <mergeCell ref="A396:B396"/>
    <mergeCell ref="A397:B397"/>
    <mergeCell ref="A398:B398"/>
    <mergeCell ref="A399:B399"/>
    <mergeCell ref="C372:D372"/>
    <mergeCell ref="E372:E373"/>
    <mergeCell ref="A391:B391"/>
    <mergeCell ref="A387:B387"/>
    <mergeCell ref="A388:B388"/>
    <mergeCell ref="A389:B389"/>
    <mergeCell ref="A390:B390"/>
    <mergeCell ref="C386:D386"/>
    <mergeCell ref="E386:E387"/>
    <mergeCell ref="C394:D394"/>
    <mergeCell ref="E394:E395"/>
    <mergeCell ref="A378:B378"/>
    <mergeCell ref="A379:B379"/>
    <mergeCell ref="A380:B380"/>
    <mergeCell ref="A381:B381"/>
    <mergeCell ref="A382:B382"/>
    <mergeCell ref="A383:B383"/>
    <mergeCell ref="A377:B377"/>
    <mergeCell ref="A186:B186"/>
    <mergeCell ref="A187:B187"/>
    <mergeCell ref="A180:B180"/>
    <mergeCell ref="A181:B181"/>
    <mergeCell ref="A182:B182"/>
    <mergeCell ref="A183:B183"/>
    <mergeCell ref="A184:B184"/>
    <mergeCell ref="A185:B185"/>
    <mergeCell ref="A174:B174"/>
    <mergeCell ref="A175:B175"/>
    <mergeCell ref="A176:B176"/>
    <mergeCell ref="A177:B177"/>
    <mergeCell ref="A178:B178"/>
    <mergeCell ref="A179:B179"/>
    <mergeCell ref="A308:B308"/>
    <mergeCell ref="A309:B309"/>
    <mergeCell ref="A310:B310"/>
    <mergeCell ref="A311:B311"/>
    <mergeCell ref="A312:B312"/>
    <mergeCell ref="A313:B313"/>
    <mergeCell ref="A304:B304"/>
    <mergeCell ref="A305:B305"/>
    <mergeCell ref="A306:B306"/>
    <mergeCell ref="A307:B307"/>
    <mergeCell ref="A364:B364"/>
    <mergeCell ref="A365:B365"/>
    <mergeCell ref="A366:B366"/>
    <mergeCell ref="A367:B367"/>
    <mergeCell ref="A316:B316"/>
    <mergeCell ref="A373:B373"/>
    <mergeCell ref="A374:B374"/>
    <mergeCell ref="A375:B375"/>
    <mergeCell ref="A376:B376"/>
    <mergeCell ref="A331:B331"/>
    <mergeCell ref="A323:B323"/>
    <mergeCell ref="A324:B324"/>
    <mergeCell ref="A325:B325"/>
    <mergeCell ref="A326:B326"/>
    <mergeCell ref="A327:B327"/>
    <mergeCell ref="A328:B328"/>
    <mergeCell ref="A368:B368"/>
    <mergeCell ref="A369:B369"/>
    <mergeCell ref="A353:B353"/>
    <mergeCell ref="A354:B354"/>
    <mergeCell ref="A355:B355"/>
    <mergeCell ref="A356:B356"/>
    <mergeCell ref="A357:B357"/>
    <mergeCell ref="A358:B358"/>
    <mergeCell ref="C303:D303"/>
    <mergeCell ref="E303:E304"/>
    <mergeCell ref="A317:B317"/>
    <mergeCell ref="A318:B318"/>
    <mergeCell ref="C363:D363"/>
    <mergeCell ref="E363:E364"/>
    <mergeCell ref="A194:B194"/>
    <mergeCell ref="A344:B344"/>
    <mergeCell ref="A345:B345"/>
    <mergeCell ref="A338:B338"/>
    <mergeCell ref="A339:B339"/>
    <mergeCell ref="A340:B340"/>
    <mergeCell ref="A341:B341"/>
    <mergeCell ref="A342:B342"/>
    <mergeCell ref="A343:B343"/>
    <mergeCell ref="A281:B281"/>
    <mergeCell ref="A282:B282"/>
    <mergeCell ref="A283:B283"/>
    <mergeCell ref="A284:B284"/>
    <mergeCell ref="A285:B285"/>
    <mergeCell ref="A286:B286"/>
    <mergeCell ref="A277:B277"/>
    <mergeCell ref="A278:B278"/>
    <mergeCell ref="A279:B279"/>
    <mergeCell ref="A169:B169"/>
    <mergeCell ref="A170:B170"/>
    <mergeCell ref="A171:B171"/>
    <mergeCell ref="A172:B172"/>
    <mergeCell ref="A173:B173"/>
    <mergeCell ref="A162:B162"/>
    <mergeCell ref="A163:B163"/>
    <mergeCell ref="A164:B164"/>
    <mergeCell ref="A165:B165"/>
    <mergeCell ref="A166:B166"/>
    <mergeCell ref="A167:B167"/>
    <mergeCell ref="E160:E161"/>
    <mergeCell ref="A161:B161"/>
    <mergeCell ref="A112:B112"/>
    <mergeCell ref="A113:B113"/>
    <mergeCell ref="A114:B114"/>
    <mergeCell ref="A115:B115"/>
    <mergeCell ref="A116:B116"/>
    <mergeCell ref="A117:B117"/>
    <mergeCell ref="A168:B168"/>
    <mergeCell ref="C147:D147"/>
    <mergeCell ref="E147:E148"/>
    <mergeCell ref="A148:B148"/>
    <mergeCell ref="A149:B149"/>
    <mergeCell ref="A150:B150"/>
    <mergeCell ref="A151:B151"/>
    <mergeCell ref="A152:B152"/>
    <mergeCell ref="A153:B153"/>
    <mergeCell ref="A154:B154"/>
    <mergeCell ref="A124:B124"/>
    <mergeCell ref="A125:B125"/>
    <mergeCell ref="A126:B126"/>
    <mergeCell ref="A139:B139"/>
    <mergeCell ref="A140:B140"/>
    <mergeCell ref="A141:B141"/>
    <mergeCell ref="A99:B99"/>
    <mergeCell ref="A88:B88"/>
    <mergeCell ref="A89:B89"/>
    <mergeCell ref="A90:B90"/>
    <mergeCell ref="A91:B91"/>
    <mergeCell ref="A92:B92"/>
    <mergeCell ref="A93:B93"/>
    <mergeCell ref="A106:B106"/>
    <mergeCell ref="C160:D160"/>
    <mergeCell ref="A142:B142"/>
    <mergeCell ref="A143:B143"/>
    <mergeCell ref="A144:B144"/>
    <mergeCell ref="A133:B133"/>
    <mergeCell ref="A134:B134"/>
    <mergeCell ref="A135:B135"/>
    <mergeCell ref="A136:B136"/>
    <mergeCell ref="A137:B137"/>
    <mergeCell ref="A138:B138"/>
    <mergeCell ref="A155:B155"/>
    <mergeCell ref="A156:B156"/>
    <mergeCell ref="A157:B157"/>
    <mergeCell ref="A129:B129"/>
    <mergeCell ref="A130:B130"/>
    <mergeCell ref="A131:B131"/>
    <mergeCell ref="A250:B250"/>
    <mergeCell ref="A251:B251"/>
    <mergeCell ref="A252:B252"/>
    <mergeCell ref="A253:B253"/>
    <mergeCell ref="A254:B254"/>
    <mergeCell ref="A255:B255"/>
    <mergeCell ref="A243:B243"/>
    <mergeCell ref="A244:B244"/>
    <mergeCell ref="A245:B245"/>
    <mergeCell ref="A246:B246"/>
    <mergeCell ref="A247:B247"/>
    <mergeCell ref="A248:B248"/>
    <mergeCell ref="A249:B249"/>
    <mergeCell ref="A51:B51"/>
    <mergeCell ref="A52:B52"/>
    <mergeCell ref="A45:B45"/>
    <mergeCell ref="A46:B46"/>
    <mergeCell ref="A47:B47"/>
    <mergeCell ref="A48:B48"/>
    <mergeCell ref="A49:B49"/>
    <mergeCell ref="A50:B50"/>
    <mergeCell ref="A280:B280"/>
    <mergeCell ref="A269:B269"/>
    <mergeCell ref="A270:B270"/>
    <mergeCell ref="A271:B271"/>
    <mergeCell ref="A272:B272"/>
    <mergeCell ref="A273:B273"/>
    <mergeCell ref="A274:B274"/>
    <mergeCell ref="A107:B107"/>
    <mergeCell ref="A108:B108"/>
    <mergeCell ref="A109:B109"/>
    <mergeCell ref="A110:B110"/>
    <mergeCell ref="A262:B262"/>
    <mergeCell ref="A275:B275"/>
    <mergeCell ref="A276:B276"/>
    <mergeCell ref="A258:B258"/>
    <mergeCell ref="A98:B98"/>
    <mergeCell ref="E25:E26"/>
    <mergeCell ref="A26:B26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C25:D25"/>
    <mergeCell ref="C55:D55"/>
    <mergeCell ref="E55:E56"/>
    <mergeCell ref="A66:B66"/>
    <mergeCell ref="A67:B67"/>
    <mergeCell ref="A68:B68"/>
    <mergeCell ref="A69:B69"/>
    <mergeCell ref="A70:B70"/>
    <mergeCell ref="A71:B71"/>
    <mergeCell ref="A60:B60"/>
    <mergeCell ref="A61:B61"/>
    <mergeCell ref="A62:B62"/>
    <mergeCell ref="A63:B63"/>
    <mergeCell ref="A64:B64"/>
    <mergeCell ref="A65:B65"/>
    <mergeCell ref="A329:B329"/>
    <mergeCell ref="A330:B330"/>
    <mergeCell ref="A78:B78"/>
    <mergeCell ref="A79:B79"/>
    <mergeCell ref="A80:B80"/>
    <mergeCell ref="A81:B81"/>
    <mergeCell ref="A82:B82"/>
    <mergeCell ref="A83:B83"/>
    <mergeCell ref="A72:B72"/>
    <mergeCell ref="A73:B73"/>
    <mergeCell ref="A74:B74"/>
    <mergeCell ref="A75:B75"/>
    <mergeCell ref="A76:B76"/>
    <mergeCell ref="A77:B77"/>
    <mergeCell ref="A233:B233"/>
    <mergeCell ref="A256:B256"/>
    <mergeCell ref="A257:B257"/>
    <mergeCell ref="A293:B293"/>
    <mergeCell ref="A294:B294"/>
    <mergeCell ref="A263:B263"/>
    <mergeCell ref="A264:B264"/>
    <mergeCell ref="A265:B265"/>
    <mergeCell ref="A266:B266"/>
    <mergeCell ref="A267:B267"/>
    <mergeCell ref="C321:D321"/>
    <mergeCell ref="E321:E322"/>
    <mergeCell ref="A322:B322"/>
    <mergeCell ref="A56:B56"/>
    <mergeCell ref="A57:B57"/>
    <mergeCell ref="A58:B58"/>
    <mergeCell ref="A59:B59"/>
    <mergeCell ref="C86:D86"/>
    <mergeCell ref="E86:E87"/>
    <mergeCell ref="A268:B268"/>
    <mergeCell ref="A234:B234"/>
    <mergeCell ref="A235:B235"/>
    <mergeCell ref="A236:B236"/>
    <mergeCell ref="A237:B237"/>
    <mergeCell ref="A238:B238"/>
    <mergeCell ref="C231:D231"/>
    <mergeCell ref="A232:B232"/>
    <mergeCell ref="A291:B291"/>
    <mergeCell ref="A292:B292"/>
    <mergeCell ref="C261:D261"/>
    <mergeCell ref="E261:E262"/>
    <mergeCell ref="E231:E232"/>
    <mergeCell ref="C242:D242"/>
    <mergeCell ref="E242:E243"/>
    <mergeCell ref="C289:D289"/>
    <mergeCell ref="E289:E290"/>
    <mergeCell ref="A295:B295"/>
    <mergeCell ref="A296:B296"/>
    <mergeCell ref="A297:B297"/>
    <mergeCell ref="A298:B298"/>
    <mergeCell ref="A299:B299"/>
    <mergeCell ref="A300:B300"/>
    <mergeCell ref="A290:B290"/>
  </mergeCells>
  <pageMargins left="0.5" right="0.5" top="0.75" bottom="0.75" header="0.3" footer="0.3"/>
  <pageSetup paperSize="9" orientation="portrait"/>
  <headerFooter>
    <oddHeader>&amp;C&amp;K01+034Tumor Size Screening - Raw Data</oddHeader>
    <oddFooter>&amp;C&amp;P / &amp;N</oddFooter>
  </headerFooter>
  <rowBreaks count="5" manualBreakCount="5">
    <brk id="334" max="16383" man="1"/>
    <brk id="493" max="16383" man="1"/>
    <brk id="538" max="16383" man="1"/>
    <brk id="586" max="16383" man="1"/>
    <brk id="691" max="16383" man="1"/>
  </row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4"/>
  <sheetViews>
    <sheetView workbookViewId="0">
      <pane xSplit="1" ySplit="2" topLeftCell="B3" activePane="bottomRight" state="frozen"/>
      <selection pane="topRight" activeCell="C1" sqref="C1"/>
      <selection pane="bottomLeft" activeCell="A3" sqref="A3"/>
      <selection pane="bottomRight" activeCell="A13" sqref="A13"/>
    </sheetView>
  </sheetViews>
  <sheetFormatPr baseColWidth="10" defaultColWidth="12.6640625" defaultRowHeight="13" x14ac:dyDescent="0"/>
  <cols>
    <col min="1" max="1" width="12.6640625" style="5"/>
    <col min="2" max="16384" width="12.6640625" style="8"/>
  </cols>
  <sheetData>
    <row r="1" spans="1:31">
      <c r="A1" s="37" t="s">
        <v>0</v>
      </c>
      <c r="B1" s="59" t="s">
        <v>446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 spans="1:31">
      <c r="A2" s="37" t="s">
        <v>447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</row>
    <row r="3" spans="1:31" ht="16" customHeight="1">
      <c r="A3" s="4" t="s">
        <v>424</v>
      </c>
      <c r="B3" s="38">
        <v>222.91200000000001</v>
      </c>
      <c r="C3" s="38">
        <v>13.8765</v>
      </c>
      <c r="D3" s="38">
        <v>6.7759999999999998</v>
      </c>
      <c r="E3" s="38">
        <v>4.05</v>
      </c>
      <c r="F3" s="38">
        <v>1.8620000000000001</v>
      </c>
      <c r="G3" s="38">
        <v>1.224</v>
      </c>
      <c r="H3" s="38">
        <v>0.75</v>
      </c>
      <c r="I3" s="38">
        <v>0.55000000000000004</v>
      </c>
      <c r="J3" s="38">
        <v>0.54400000000000004</v>
      </c>
      <c r="K3" s="38">
        <v>0.48599999999999999</v>
      </c>
      <c r="L3" s="38">
        <v>0.40500000000000003</v>
      </c>
      <c r="M3" s="38">
        <v>0.38400000000000001</v>
      </c>
      <c r="N3" s="38">
        <v>0.32</v>
      </c>
      <c r="O3" s="38">
        <v>0.2205</v>
      </c>
      <c r="P3" s="38">
        <v>0.2205</v>
      </c>
      <c r="Q3" s="38">
        <v>0.2205</v>
      </c>
      <c r="R3" s="38">
        <v>0.19600000000000001</v>
      </c>
      <c r="S3" s="38">
        <v>6.25E-2</v>
      </c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31" ht="16" customHeight="1">
      <c r="A4" s="4" t="s">
        <v>425</v>
      </c>
      <c r="B4" s="38">
        <v>137.49950000000001</v>
      </c>
      <c r="C4" s="38">
        <v>22.869</v>
      </c>
      <c r="D4" s="38">
        <v>11.76</v>
      </c>
      <c r="E4" s="38">
        <v>9.7919999999999998</v>
      </c>
      <c r="F4" s="38">
        <v>9.6875</v>
      </c>
      <c r="G4" s="38">
        <v>7.5019999999999998</v>
      </c>
      <c r="H4" s="38">
        <v>6.8769999999999998</v>
      </c>
      <c r="I4" s="38">
        <v>6.5339999999999998</v>
      </c>
      <c r="J4" s="38">
        <v>3.61</v>
      </c>
      <c r="K4" s="38">
        <v>3.5640000000000001</v>
      </c>
      <c r="L4" s="38">
        <v>3.0345</v>
      </c>
      <c r="M4" s="38">
        <v>2.4565000000000001</v>
      </c>
      <c r="N4" s="38">
        <v>1.9125000000000001</v>
      </c>
      <c r="O4" s="38">
        <v>1.6659999999999999</v>
      </c>
      <c r="P4" s="38">
        <v>1.008</v>
      </c>
      <c r="Q4" s="38">
        <v>0.28799999999999998</v>
      </c>
      <c r="R4" s="38">
        <v>0.26950000000000002</v>
      </c>
      <c r="S4" s="38">
        <v>0.17150000000000001</v>
      </c>
      <c r="T4" s="38">
        <v>0.126</v>
      </c>
      <c r="U4" s="38">
        <v>0.126</v>
      </c>
      <c r="V4" s="38">
        <v>7.4999999999999997E-2</v>
      </c>
      <c r="W4" s="38">
        <v>3.2000000000000001E-2</v>
      </c>
      <c r="X4" s="38">
        <v>3.2000000000000001E-2</v>
      </c>
      <c r="Y4" s="38">
        <v>3.2000000000000001E-2</v>
      </c>
      <c r="Z4" s="38">
        <v>1.7999999999999999E-2</v>
      </c>
      <c r="AA4" s="38"/>
      <c r="AB4" s="38"/>
      <c r="AC4" s="38"/>
    </row>
    <row r="5" spans="1:31" ht="16" customHeight="1">
      <c r="A5" s="4" t="s">
        <v>426</v>
      </c>
      <c r="B5" s="38">
        <v>46.227499999999999</v>
      </c>
      <c r="C5" s="38">
        <v>30.802499999999998</v>
      </c>
      <c r="D5" s="38">
        <v>20.48</v>
      </c>
      <c r="E5" s="38">
        <v>18</v>
      </c>
      <c r="F5" s="38">
        <v>17.661000000000001</v>
      </c>
      <c r="G5" s="38">
        <v>9.8019999999999996</v>
      </c>
      <c r="H5" s="38">
        <v>7.1414999999999997</v>
      </c>
      <c r="I5" s="38">
        <v>3.7120000000000002</v>
      </c>
      <c r="J5" s="38">
        <v>3.0720000000000001</v>
      </c>
      <c r="K5" s="38">
        <v>2.89</v>
      </c>
      <c r="L5" s="38">
        <v>2.4565000000000001</v>
      </c>
      <c r="M5" s="38">
        <v>1.9125000000000001</v>
      </c>
      <c r="N5" s="38">
        <v>1.47</v>
      </c>
      <c r="O5" s="38">
        <v>1.0285</v>
      </c>
      <c r="P5" s="38">
        <v>0.93600000000000005</v>
      </c>
      <c r="Q5" s="38">
        <v>0.78649999999999998</v>
      </c>
      <c r="R5" s="38">
        <v>0.78649999999999998</v>
      </c>
      <c r="S5" s="38">
        <v>0.78649999999999998</v>
      </c>
      <c r="T5" s="38">
        <v>0.7</v>
      </c>
      <c r="U5" s="38">
        <v>0.55000000000000004</v>
      </c>
      <c r="V5" s="38">
        <v>0.52649999999999997</v>
      </c>
      <c r="W5" s="38">
        <v>0.5</v>
      </c>
      <c r="X5" s="38">
        <v>0.41599999999999998</v>
      </c>
      <c r="Y5" s="38">
        <v>0.40500000000000003</v>
      </c>
      <c r="Z5" s="38">
        <v>0.28799999999999998</v>
      </c>
      <c r="AA5" s="38">
        <v>0.28799999999999998</v>
      </c>
      <c r="AB5" s="38"/>
      <c r="AC5" s="38"/>
    </row>
    <row r="6" spans="1:31" ht="16" customHeight="1">
      <c r="A6" s="4" t="s">
        <v>427</v>
      </c>
      <c r="B6" s="38">
        <v>49.817999999999998</v>
      </c>
      <c r="C6" s="38">
        <v>24.276</v>
      </c>
      <c r="D6" s="38">
        <v>12.151999999999999</v>
      </c>
      <c r="E6" s="38">
        <v>9.9220000000000006</v>
      </c>
      <c r="F6" s="38">
        <v>4.8600000000000003</v>
      </c>
      <c r="G6" s="38">
        <v>3.9015</v>
      </c>
      <c r="H6" s="38">
        <v>3.5640000000000001</v>
      </c>
      <c r="I6" s="38">
        <v>2.944</v>
      </c>
      <c r="J6" s="38">
        <v>2.944</v>
      </c>
      <c r="K6" s="38">
        <v>2.9159999999999999</v>
      </c>
      <c r="L6" s="38">
        <v>2.8159999999999998</v>
      </c>
      <c r="M6" s="38">
        <v>2.56</v>
      </c>
      <c r="N6" s="38">
        <v>2.3039999999999998</v>
      </c>
      <c r="O6" s="38">
        <v>2.3039999999999998</v>
      </c>
      <c r="P6" s="38">
        <v>2.1375000000000002</v>
      </c>
      <c r="Q6" s="38">
        <v>2.0579999999999998</v>
      </c>
      <c r="R6" s="38">
        <v>1.8720000000000001</v>
      </c>
      <c r="S6" s="38">
        <v>1.69</v>
      </c>
      <c r="T6" s="38">
        <v>1.69</v>
      </c>
      <c r="U6" s="38">
        <v>1.44</v>
      </c>
      <c r="V6" s="38">
        <v>1.296</v>
      </c>
      <c r="W6" s="38">
        <v>1.224</v>
      </c>
      <c r="X6" s="38">
        <v>0.93149999999999999</v>
      </c>
      <c r="Y6" s="38">
        <v>0.72599999999999998</v>
      </c>
      <c r="Z6" s="38">
        <v>0.7</v>
      </c>
      <c r="AA6" s="38">
        <v>0.35199999999999998</v>
      </c>
      <c r="AB6" s="38">
        <v>0.35199999999999998</v>
      </c>
      <c r="AC6" s="38">
        <v>0.28799999999999998</v>
      </c>
      <c r="AD6" s="38">
        <v>0.25600000000000001</v>
      </c>
      <c r="AE6" s="38">
        <v>0.19600000000000001</v>
      </c>
    </row>
    <row r="7" spans="1:31" ht="16" customHeight="1">
      <c r="A7" s="4" t="s">
        <v>428</v>
      </c>
      <c r="B7" s="38">
        <v>46.746000000000002</v>
      </c>
      <c r="C7" s="38">
        <v>19.207999999999998</v>
      </c>
      <c r="D7" s="38">
        <v>12.615</v>
      </c>
      <c r="E7" s="38">
        <v>5.3239999999999998</v>
      </c>
      <c r="F7" s="38">
        <v>4.8</v>
      </c>
      <c r="G7" s="38">
        <v>4.2119999999999997</v>
      </c>
      <c r="H7" s="38">
        <v>3.0345</v>
      </c>
      <c r="I7" s="38">
        <v>2.6880000000000002</v>
      </c>
      <c r="J7" s="38">
        <v>1.2675000000000001</v>
      </c>
      <c r="K7" s="38">
        <v>1.008</v>
      </c>
      <c r="L7" s="38">
        <v>0.72899999999999998</v>
      </c>
      <c r="M7" s="38">
        <v>0.7</v>
      </c>
      <c r="N7" s="38">
        <v>0.6</v>
      </c>
      <c r="O7" s="38">
        <v>0.44550000000000001</v>
      </c>
      <c r="P7" s="38">
        <v>0.32</v>
      </c>
      <c r="Q7" s="38">
        <v>0.2205</v>
      </c>
      <c r="R7" s="38">
        <v>0.2205</v>
      </c>
      <c r="S7" s="38">
        <v>0.19600000000000001</v>
      </c>
      <c r="T7" s="38">
        <v>0.17150000000000001</v>
      </c>
      <c r="U7" s="38">
        <v>7.4999999999999997E-2</v>
      </c>
      <c r="V7" s="38">
        <v>7.4999999999999997E-2</v>
      </c>
      <c r="W7" s="38"/>
      <c r="X7" s="38"/>
      <c r="Y7" s="38"/>
      <c r="Z7" s="38"/>
      <c r="AA7" s="38"/>
      <c r="AB7" s="38"/>
      <c r="AC7" s="38"/>
    </row>
    <row r="8" spans="1:31" ht="16" customHeight="1">
      <c r="A8" s="4" t="s">
        <v>429</v>
      </c>
      <c r="B8" s="38">
        <v>77.247500000000002</v>
      </c>
      <c r="C8" s="38">
        <v>8.0640000000000001</v>
      </c>
      <c r="D8" s="38">
        <v>6.2</v>
      </c>
      <c r="E8" s="38">
        <v>2.7454999999999998</v>
      </c>
      <c r="F8" s="38">
        <v>1.8</v>
      </c>
      <c r="G8" s="38">
        <v>1.3720000000000001</v>
      </c>
      <c r="H8" s="38">
        <v>0.5</v>
      </c>
      <c r="I8" s="38">
        <v>0.14399999999999999</v>
      </c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</row>
    <row r="9" spans="1:31" ht="16" customHeight="1">
      <c r="A9" s="4" t="s">
        <v>430</v>
      </c>
      <c r="B9" s="38">
        <v>24.5</v>
      </c>
      <c r="C9" s="38">
        <v>22.3245</v>
      </c>
      <c r="D9" s="38">
        <v>19.8</v>
      </c>
      <c r="E9" s="38">
        <v>8.9540000000000006</v>
      </c>
      <c r="F9" s="38">
        <v>3.0720000000000001</v>
      </c>
      <c r="G9" s="38">
        <v>2.9249999999999998</v>
      </c>
      <c r="H9" s="38">
        <v>1.6659999999999999</v>
      </c>
      <c r="I9" s="38">
        <v>1.3520000000000001</v>
      </c>
      <c r="J9" s="38">
        <v>1.1495</v>
      </c>
      <c r="K9" s="38">
        <v>1.008</v>
      </c>
      <c r="L9" s="38">
        <v>0.65</v>
      </c>
      <c r="M9" s="38">
        <v>0.65</v>
      </c>
      <c r="N9" s="38">
        <v>0.54400000000000004</v>
      </c>
      <c r="O9" s="38">
        <v>0.48599999999999999</v>
      </c>
      <c r="P9" s="38">
        <v>0.32</v>
      </c>
      <c r="Q9" s="38">
        <v>0.26950000000000002</v>
      </c>
      <c r="R9" s="38">
        <v>0.19600000000000001</v>
      </c>
      <c r="S9" s="38">
        <v>0.19600000000000001</v>
      </c>
      <c r="T9" s="38">
        <v>0.17150000000000001</v>
      </c>
      <c r="U9" s="38">
        <v>0.14399999999999999</v>
      </c>
      <c r="V9" s="38">
        <v>0.14399999999999999</v>
      </c>
      <c r="W9" s="38">
        <v>0.14399999999999999</v>
      </c>
      <c r="X9" s="38">
        <v>7.4999999999999997E-2</v>
      </c>
      <c r="Y9" s="38">
        <v>0.04</v>
      </c>
      <c r="Z9" s="38">
        <v>3.2000000000000001E-2</v>
      </c>
      <c r="AA9" s="38"/>
      <c r="AB9" s="38"/>
      <c r="AC9" s="38"/>
      <c r="AD9" s="38"/>
      <c r="AE9" s="38"/>
    </row>
    <row r="10" spans="1:31" ht="16" customHeight="1">
      <c r="A10" s="4" t="s">
        <v>431</v>
      </c>
      <c r="B10" s="38">
        <v>48.9985</v>
      </c>
      <c r="C10" s="38">
        <v>10.816000000000001</v>
      </c>
      <c r="D10" s="38">
        <v>5.7329999999999997</v>
      </c>
      <c r="E10" s="38">
        <v>3.7905000000000002</v>
      </c>
      <c r="F10" s="38">
        <v>2.3039999999999998</v>
      </c>
      <c r="G10" s="38">
        <v>1.2675000000000001</v>
      </c>
      <c r="H10" s="38">
        <v>0.44550000000000001</v>
      </c>
      <c r="I10" s="38">
        <v>0.25600000000000001</v>
      </c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</row>
    <row r="11" spans="1:31" ht="16" customHeight="1">
      <c r="A11" s="4" t="s">
        <v>432</v>
      </c>
      <c r="B11" s="38">
        <v>47.587499999999999</v>
      </c>
      <c r="C11" s="38">
        <v>12.936</v>
      </c>
      <c r="D11" s="38">
        <v>0.93600000000000005</v>
      </c>
      <c r="E11" s="38">
        <v>0.55000000000000004</v>
      </c>
      <c r="F11" s="38">
        <v>0.44800000000000001</v>
      </c>
      <c r="G11" s="38">
        <v>0.19600000000000001</v>
      </c>
      <c r="H11" s="38">
        <v>0.18</v>
      </c>
      <c r="I11" s="38">
        <v>0.17150000000000001</v>
      </c>
      <c r="J11" s="38">
        <v>0.126</v>
      </c>
      <c r="K11" s="38">
        <v>0.126</v>
      </c>
      <c r="L11" s="38">
        <v>0.108</v>
      </c>
      <c r="M11" s="38">
        <v>0.108</v>
      </c>
      <c r="N11" s="38">
        <v>7.4999999999999997E-2</v>
      </c>
      <c r="O11" s="38">
        <v>6.25E-2</v>
      </c>
      <c r="P11" s="38">
        <v>0.04</v>
      </c>
      <c r="Q11" s="38">
        <v>0.04</v>
      </c>
      <c r="R11" s="38">
        <v>3.2000000000000001E-2</v>
      </c>
      <c r="S11" s="38">
        <v>3.2000000000000001E-2</v>
      </c>
      <c r="T11" s="38">
        <v>3.2000000000000001E-2</v>
      </c>
      <c r="U11" s="38">
        <v>1.35E-2</v>
      </c>
      <c r="V11" s="38">
        <v>1.35E-2</v>
      </c>
      <c r="W11" s="38">
        <v>1.35E-2</v>
      </c>
      <c r="X11" s="38">
        <v>1.35E-2</v>
      </c>
      <c r="AA11" s="38"/>
      <c r="AB11" s="38"/>
      <c r="AC11" s="38"/>
    </row>
    <row r="12" spans="1:31" ht="16" customHeight="1">
      <c r="A12" s="4" t="s">
        <v>433</v>
      </c>
      <c r="B12" s="38">
        <v>26.568000000000001</v>
      </c>
      <c r="C12" s="38">
        <v>16.071999999999999</v>
      </c>
      <c r="D12" s="38">
        <v>9.0404999999999998</v>
      </c>
      <c r="E12" s="38">
        <v>2.4750000000000001</v>
      </c>
      <c r="F12" s="38">
        <v>1</v>
      </c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</row>
    <row r="13" spans="1:31" ht="16" customHeight="1">
      <c r="A13" s="4" t="s">
        <v>434</v>
      </c>
      <c r="B13" s="38">
        <v>36.822000000000003</v>
      </c>
      <c r="C13" s="38">
        <v>4.6980000000000004</v>
      </c>
      <c r="D13" s="38">
        <v>2.4565000000000001</v>
      </c>
      <c r="E13" s="38">
        <v>2.0249999999999999</v>
      </c>
      <c r="F13" s="38">
        <v>1.9125000000000001</v>
      </c>
      <c r="G13" s="38">
        <v>1.6875</v>
      </c>
      <c r="H13" s="38">
        <v>1.2675000000000001</v>
      </c>
      <c r="I13" s="38">
        <v>1.08</v>
      </c>
      <c r="J13" s="38">
        <v>0.75</v>
      </c>
      <c r="K13" s="38">
        <v>0.35199999999999998</v>
      </c>
      <c r="L13" s="38">
        <v>0.32</v>
      </c>
      <c r="M13" s="38">
        <v>0.17150000000000001</v>
      </c>
      <c r="N13" s="38">
        <v>8.7499999999999994E-2</v>
      </c>
      <c r="O13" s="38">
        <v>7.4999999999999997E-2</v>
      </c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</row>
    <row r="14" spans="1:31" ht="16" customHeight="1">
      <c r="A14" s="4" t="s">
        <v>435</v>
      </c>
      <c r="B14" s="38">
        <v>20.992000000000001</v>
      </c>
      <c r="C14" s="38">
        <v>8.125</v>
      </c>
      <c r="D14" s="38">
        <v>7.6704999999999997</v>
      </c>
      <c r="E14" s="38">
        <v>2.89</v>
      </c>
      <c r="F14" s="38">
        <v>2.1760000000000002</v>
      </c>
      <c r="G14" s="38">
        <v>1.47</v>
      </c>
      <c r="H14" s="38">
        <v>1.44</v>
      </c>
      <c r="I14" s="38">
        <v>0.60750000000000004</v>
      </c>
      <c r="J14" s="38">
        <v>0.55000000000000004</v>
      </c>
      <c r="K14" s="38">
        <v>0.55000000000000004</v>
      </c>
      <c r="L14" s="38">
        <v>0.40500000000000003</v>
      </c>
      <c r="M14" s="38">
        <v>0.26950000000000002</v>
      </c>
      <c r="N14" s="38">
        <v>0.245</v>
      </c>
      <c r="O14" s="38">
        <v>0.2205</v>
      </c>
      <c r="P14" s="38">
        <v>0.16200000000000001</v>
      </c>
      <c r="Q14" s="38">
        <v>0.126</v>
      </c>
      <c r="R14" s="38">
        <v>0.108</v>
      </c>
      <c r="S14" s="38">
        <v>8.7499999999999994E-2</v>
      </c>
      <c r="T14" s="38">
        <v>8.7499999999999994E-2</v>
      </c>
      <c r="U14" s="38">
        <v>7.4999999999999997E-2</v>
      </c>
      <c r="V14" s="38">
        <v>6.25E-2</v>
      </c>
      <c r="W14" s="38">
        <v>6.25E-2</v>
      </c>
      <c r="X14" s="38">
        <v>6.25E-2</v>
      </c>
      <c r="Y14" s="38"/>
      <c r="Z14" s="38"/>
      <c r="AA14" s="38"/>
      <c r="AB14" s="38"/>
      <c r="AC14" s="38"/>
    </row>
    <row r="15" spans="1:31" ht="16" customHeight="1">
      <c r="A15" s="4" t="s">
        <v>436</v>
      </c>
      <c r="B15" s="38">
        <v>10.478</v>
      </c>
      <c r="C15" s="38">
        <v>8.0640000000000001</v>
      </c>
      <c r="D15" s="38">
        <v>6.6150000000000002</v>
      </c>
      <c r="E15" s="38">
        <v>5.0715000000000003</v>
      </c>
      <c r="F15" s="38">
        <v>3.5840000000000001</v>
      </c>
      <c r="G15" s="38">
        <v>3.3279999999999998</v>
      </c>
      <c r="H15" s="38">
        <v>2.6880000000000002</v>
      </c>
      <c r="I15" s="38">
        <v>0.93600000000000005</v>
      </c>
      <c r="J15" s="38">
        <v>0.28799999999999998</v>
      </c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</row>
    <row r="16" spans="1:31" ht="16" customHeight="1">
      <c r="A16" s="4" t="s">
        <v>437</v>
      </c>
      <c r="B16" s="38">
        <v>26.491499999999998</v>
      </c>
      <c r="C16" s="38">
        <v>2.8420000000000001</v>
      </c>
      <c r="D16" s="38">
        <v>1.7745</v>
      </c>
      <c r="E16" s="38">
        <v>1.3720000000000001</v>
      </c>
      <c r="F16" s="38">
        <v>1.331</v>
      </c>
      <c r="G16" s="38">
        <v>1.2</v>
      </c>
      <c r="H16" s="38">
        <v>1.1830000000000001</v>
      </c>
      <c r="I16" s="38">
        <v>1.0985</v>
      </c>
      <c r="J16" s="38">
        <v>1.0985</v>
      </c>
      <c r="K16" s="38">
        <v>0.72899999999999998</v>
      </c>
      <c r="L16" s="38">
        <v>0.66549999999999998</v>
      </c>
      <c r="M16" s="38">
        <v>0.39200000000000002</v>
      </c>
      <c r="N16" s="38">
        <v>0.35199999999999998</v>
      </c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</row>
    <row r="17" spans="1:29" ht="16" customHeight="1">
      <c r="A17" s="4" t="s">
        <v>438</v>
      </c>
      <c r="B17" s="38">
        <v>25.047000000000001</v>
      </c>
      <c r="C17" s="38">
        <v>2.16</v>
      </c>
      <c r="D17" s="38">
        <v>1.5125</v>
      </c>
      <c r="E17" s="39">
        <v>1.512</v>
      </c>
      <c r="F17" s="38">
        <v>1.2705</v>
      </c>
      <c r="G17" s="38">
        <v>1.1519999999999999</v>
      </c>
      <c r="H17" s="38">
        <v>0.78649999999999998</v>
      </c>
      <c r="I17" s="38">
        <v>0.64800000000000002</v>
      </c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</row>
    <row r="18" spans="1:29" ht="16" customHeight="1">
      <c r="A18" s="4" t="s">
        <v>439</v>
      </c>
      <c r="B18" s="38">
        <v>17.100000000000001</v>
      </c>
      <c r="C18" s="38">
        <v>2.7454999999999998</v>
      </c>
      <c r="D18" s="38">
        <v>1.224</v>
      </c>
      <c r="E18" s="38">
        <v>0.38400000000000001</v>
      </c>
      <c r="F18" s="38">
        <v>0.25600000000000001</v>
      </c>
      <c r="G18" s="38">
        <v>0.14399999999999999</v>
      </c>
      <c r="H18" s="38">
        <v>8.7499999999999994E-2</v>
      </c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</row>
    <row r="19" spans="1:29" ht="16" customHeight="1">
      <c r="A19" s="4" t="s">
        <v>440</v>
      </c>
      <c r="B19" s="38">
        <v>10.570499999999999</v>
      </c>
      <c r="C19" s="38">
        <v>2.601</v>
      </c>
      <c r="D19" s="38">
        <v>1.47</v>
      </c>
      <c r="E19" s="38">
        <v>1.2675000000000001</v>
      </c>
      <c r="F19" s="38">
        <v>1.1830000000000001</v>
      </c>
      <c r="G19" s="38">
        <v>1.08</v>
      </c>
      <c r="H19" s="38">
        <v>1.008</v>
      </c>
      <c r="I19" s="38">
        <v>0.84699999999999998</v>
      </c>
      <c r="J19" s="38">
        <v>0.44550000000000001</v>
      </c>
      <c r="K19" s="38">
        <v>0.35199999999999998</v>
      </c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</row>
    <row r="20" spans="1:29" ht="16" customHeight="1">
      <c r="A20" s="4" t="s">
        <v>441</v>
      </c>
      <c r="B20" s="38">
        <v>18.954000000000001</v>
      </c>
      <c r="C20" s="38">
        <v>0.55000000000000004</v>
      </c>
      <c r="D20" s="38">
        <v>0.32</v>
      </c>
      <c r="E20" s="38">
        <v>0.25600000000000001</v>
      </c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</row>
    <row r="21" spans="1:29" ht="16" customHeight="1">
      <c r="A21" s="4" t="s">
        <v>442</v>
      </c>
      <c r="B21" s="38">
        <v>15.978999999999999</v>
      </c>
      <c r="C21" s="38">
        <v>0.84699999999999998</v>
      </c>
      <c r="D21" s="38">
        <v>0.245</v>
      </c>
      <c r="E21" s="38">
        <v>0.19800000000000001</v>
      </c>
      <c r="F21" s="38">
        <v>0.18</v>
      </c>
      <c r="G21" s="38">
        <v>0.14399999999999999</v>
      </c>
      <c r="H21" s="38">
        <v>0.14399999999999999</v>
      </c>
      <c r="I21" s="38">
        <v>0.126</v>
      </c>
      <c r="J21" s="38">
        <v>4.8000000000000001E-2</v>
      </c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</row>
    <row r="22" spans="1:29" ht="16" customHeight="1">
      <c r="A22" s="4" t="s">
        <v>443</v>
      </c>
      <c r="B22" s="38">
        <v>1.008</v>
      </c>
      <c r="C22" s="38">
        <v>0.36449999999999999</v>
      </c>
      <c r="D22" s="38">
        <v>0.2205</v>
      </c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</row>
    <row r="23" spans="1:29" ht="16" customHeight="1">
      <c r="A23" s="4" t="s">
        <v>444</v>
      </c>
      <c r="B23" s="38">
        <v>0.78649999999999998</v>
      </c>
      <c r="C23" s="38">
        <v>7.4999999999999997E-2</v>
      </c>
      <c r="D23" s="38">
        <v>7.4999999999999997E-2</v>
      </c>
      <c r="E23" s="38">
        <v>0.04</v>
      </c>
      <c r="F23" s="38">
        <v>0.04</v>
      </c>
      <c r="G23" s="38">
        <v>0.04</v>
      </c>
      <c r="H23" s="38">
        <v>3.2000000000000001E-2</v>
      </c>
      <c r="I23" s="38">
        <v>3.2000000000000001E-2</v>
      </c>
      <c r="J23" s="38">
        <v>3.2000000000000001E-2</v>
      </c>
      <c r="K23" s="38">
        <v>1.7999999999999999E-2</v>
      </c>
      <c r="L23" s="38">
        <v>1.7999999999999999E-2</v>
      </c>
      <c r="M23" s="38">
        <v>1.7999999999999999E-2</v>
      </c>
      <c r="N23" s="38">
        <v>1.35E-2</v>
      </c>
      <c r="O23" s="38">
        <v>1.35E-2</v>
      </c>
      <c r="P23" s="38">
        <v>1.35E-2</v>
      </c>
      <c r="Q23" s="38">
        <v>1.35E-2</v>
      </c>
      <c r="R23" s="38">
        <v>1.35E-2</v>
      </c>
      <c r="S23" s="38">
        <v>1.35E-2</v>
      </c>
      <c r="T23" s="38">
        <v>1.35E-2</v>
      </c>
      <c r="U23" s="38">
        <v>1.35E-2</v>
      </c>
      <c r="V23" s="38">
        <v>6.0000000000000001E-3</v>
      </c>
      <c r="W23" s="38"/>
      <c r="X23" s="38"/>
      <c r="Y23" s="38"/>
      <c r="Z23" s="38"/>
      <c r="AA23" s="38"/>
      <c r="AB23" s="38"/>
      <c r="AC23" s="38"/>
    </row>
    <row r="24" spans="1:29" ht="16" customHeight="1">
      <c r="A24" s="4" t="s">
        <v>445</v>
      </c>
      <c r="B24" s="38">
        <v>0.84699999999999998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</row>
  </sheetData>
  <mergeCells count="1">
    <mergeCell ref="B1:AE1"/>
  </mergeCell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Raw Data</vt:lpstr>
      <vt:lpstr>Volume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2013-05-17T13:03:06Z</dcterms:modified>
</cp:coreProperties>
</file>